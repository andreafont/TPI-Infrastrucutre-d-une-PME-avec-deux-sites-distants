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65goi\Documents\TPI Andrea Fontana\TPI-Infrastrucutre-d-une-PME-avec-deux-sites-distants\"/>
    </mc:Choice>
  </mc:AlternateContent>
  <xr:revisionPtr revIDLastSave="0" documentId="13_ncr:1_{F3D7A138-103B-4102-9022-4F740F0C860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1" r:id="rId6"/>
    <sheet name="achievementWeek" sheetId="154" state="hidden" r:id="rId7"/>
    <sheet name="JNLTRAV" sheetId="164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Planning!$A$1:$D$13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4" l="1"/>
  <c r="D20" i="164" s="1"/>
  <c r="D39" i="164" s="1"/>
  <c r="D58" i="164" s="1"/>
  <c r="B75" i="164"/>
  <c r="B56" i="164"/>
  <c r="B37" i="164"/>
  <c r="B18" i="164"/>
  <c r="B51" i="163"/>
  <c r="B49" i="163"/>
  <c r="B47" i="163"/>
  <c r="B45" i="163"/>
  <c r="B43" i="163"/>
  <c r="B41" i="163"/>
  <c r="B39" i="163"/>
  <c r="B37" i="163"/>
  <c r="B35" i="163"/>
  <c r="B33" i="163"/>
  <c r="B31" i="163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54" i="163"/>
  <c r="C53" i="163"/>
  <c r="B42" i="161"/>
  <c r="B50" i="161" l="1"/>
  <c r="B26" i="161"/>
  <c r="B12" i="161"/>
  <c r="B18" i="154"/>
  <c r="B13" i="11" l="1"/>
</calcChain>
</file>

<file path=xl/sharedStrings.xml><?xml version="1.0" encoding="utf-8"?>
<sst xmlns="http://schemas.openxmlformats.org/spreadsheetml/2006/main" count="232" uniqueCount="91">
  <si>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</si>
  <si>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</si>
  <si>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</si>
  <si>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</si>
  <si>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</si>
  <si>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</si>
  <si>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</si>
  <si>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</si>
  <si>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</si>
  <si>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</si>
  <si>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</si>
  <si>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</si>
  <si>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</si>
  <si>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</si>
  <si>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</si>
  <si>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</si>
  <si>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</si>
  <si>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</si>
  <si>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</si>
  <si>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</si>
  <si>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</si>
  <si>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</si>
  <si>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</si>
  <si>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</si>
  <si>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Andrea Fontana</t>
  </si>
  <si>
    <t>SI-CA2a</t>
  </si>
  <si>
    <t>Sainte-Croix</t>
  </si>
  <si>
    <t>Configuration du windows serveur</t>
  </si>
  <si>
    <t>Configuration des postes de travail</t>
  </si>
  <si>
    <t>Configuration du Firewall</t>
  </si>
  <si>
    <t>Documentation des tests</t>
  </si>
  <si>
    <t>STOP</t>
  </si>
  <si>
    <t>Planification initiale</t>
  </si>
  <si>
    <t>Configuration du Nas</t>
  </si>
  <si>
    <t>S 1</t>
  </si>
  <si>
    <t>S 2</t>
  </si>
  <si>
    <t>S 3</t>
  </si>
  <si>
    <t>S 4</t>
  </si>
  <si>
    <t>TPI</t>
  </si>
  <si>
    <t>Configuration du routeur Bullet</t>
  </si>
  <si>
    <t>Configuration de l'access point Bullet</t>
  </si>
  <si>
    <t>Configuration de l'imprimante Bullet</t>
  </si>
  <si>
    <t>Configuration du serveur redondant</t>
  </si>
  <si>
    <t>Configuration Routeur Lausanne</t>
  </si>
  <si>
    <t>Configuration du switch Lausanne</t>
  </si>
  <si>
    <t>Configuration du switch Bullet</t>
  </si>
  <si>
    <t>Configuration de l'access point Lausanne</t>
  </si>
  <si>
    <t>Configuration de l'imprimante Lausanne</t>
  </si>
  <si>
    <t>Analyse - Concept de test</t>
  </si>
  <si>
    <t>Analyse - Schéma logique et physique</t>
  </si>
  <si>
    <t>Analyse - Concept de sécurité</t>
  </si>
  <si>
    <t>Configuration de la liaison via VPN</t>
  </si>
  <si>
    <t>Rapport de projet</t>
  </si>
  <si>
    <t>Max. 96</t>
  </si>
  <si>
    <t>Analyse - Architecture logique</t>
  </si>
  <si>
    <t>Analyse - utilisateurs, groupes et permissions</t>
  </si>
  <si>
    <t>Introduction</t>
  </si>
  <si>
    <t>Création des tables de références pour les autorisations de partage et les autorisations NTFS. Création de l'organigramme des groupes et des utilisateurs.</t>
  </si>
  <si>
    <t>Mise en place du poste de travail et intégration dans le domaine.</t>
  </si>
  <si>
    <t>Configuration initiale du Nas et application des statégies de sauvegardes.</t>
  </si>
  <si>
    <t>Configuration initiale du serveur. Configuration des services : AD, DNS, DHCP, FS.</t>
  </si>
  <si>
    <t>Journal de travail</t>
  </si>
  <si>
    <t>Rédaction du journal de travail</t>
  </si>
  <si>
    <t>Configuration initiale du routeur.</t>
  </si>
  <si>
    <t>Mise en place du poste de travail pour le site Lausanne.</t>
  </si>
  <si>
    <t>Rédaction des points manquants et finalisation de la réalisation du site de Bullet.</t>
  </si>
  <si>
    <t>Configuration initiale du serveur. Mise en place de la redondance des services.</t>
  </si>
  <si>
    <t>Rédaction du journal de travail.</t>
  </si>
  <si>
    <t>Configuration initiale du firewall, configuration des interfaces et des routes statiques. Configuration des règles sur le trafic.</t>
  </si>
  <si>
    <t>Création du rapport et mise en place de l'analyse et de la conception.</t>
  </si>
  <si>
    <t>Création de la table d'adressage et des conventions de nommages.</t>
  </si>
  <si>
    <t>Définition des règles de sécurité et de la configuration voulue pour le fire-wall.</t>
  </si>
  <si>
    <t>Définition de l'environnement, des types de tests, de leur structure et rédaction des tests.</t>
  </si>
  <si>
    <t>Création du schéma logique et physique de l'infrastructure réseau.</t>
  </si>
  <si>
    <t>Mise en place de la planification initiale pour le projet.</t>
  </si>
  <si>
    <t>Prise de contact avec l'expert et présentation du cahier des charges.</t>
  </si>
  <si>
    <t>Configuration du switch.</t>
  </si>
  <si>
    <t xml:space="preserve">Configuration réseau de l'imprimante. </t>
  </si>
  <si>
    <t>Rédaction de la réalisation du site de Lausanne.</t>
  </si>
  <si>
    <t>Test des configurations et du bon fonctionnement du site de Lausanne.</t>
  </si>
  <si>
    <t>Configuration intiale de l'Access point et mise en place d'un réseau 2.4 ghz.</t>
  </si>
  <si>
    <t>Configuration initiale de l'Access point et mise en place d'un réseau 2.4 ghz.</t>
  </si>
  <si>
    <t>Rédaction de la réalisation pour le serveur, le firewall, l'imprimante, l'access point et le poste de travail.</t>
  </si>
  <si>
    <t>Tests de l'ensemble des fonctionnalités et des liaisons entre les deux sites. Correction des erreurs potentielles.</t>
  </si>
  <si>
    <t>Test du serveur redondant et de l'access point de bullet. Test de la configuration finale de Bullet.</t>
  </si>
  <si>
    <t xml:space="preserve">test du Nas, du routeur, du firewall, de l'imprimante et du serveur. Test des liaisons entre les devices. </t>
  </si>
  <si>
    <t>Configuration réseau de l'imprimante. Configuration des GPO et du service d'impression.</t>
  </si>
  <si>
    <t>Configuration de la liaison site à site et mise en place de l'imprimante dans le service d'impression.</t>
  </si>
  <si>
    <t>Rapport de fin de réalisation, incorporation des tests et conclusion. Rendu du rapport.</t>
  </si>
  <si>
    <t>Configuration du switch Bullet.</t>
  </si>
  <si>
    <t>Liens, références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</si>
</sst>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6"/>
      <color rgb="FFFF000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33" xfId="0" applyBorder="1" applyAlignment="1" applyProtection="1">
      <alignment horizontal="left" vertical="top" wrapText="1"/>
      <protection locked="0"/>
    </xf>
    <xf numFmtId="1" fontId="15" fillId="8" borderId="48" xfId="0" applyNumberFormat="1" applyFont="1" applyFill="1" applyBorder="1" applyAlignment="1" applyProtection="1">
      <alignment horizontal="left" vertical="center" indent="2"/>
      <protection locked="0"/>
    </xf>
    <xf numFmtId="1" fontId="20" fillId="8" borderId="47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7" fillId="6" borderId="35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16" borderId="43" xfId="0" applyFill="1" applyBorder="1"/>
    <xf numFmtId="0" fontId="0" fillId="16" borderId="44" xfId="0" applyFill="1" applyBorder="1"/>
    <xf numFmtId="0" fontId="0" fillId="16" borderId="45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7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showRowColHeaders="0" view="pageBreakPreview" zoomScale="85" zoomScaleNormal="100" zoomScaleSheetLayoutView="85" workbookViewId="0"/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45754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45791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4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32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8" t="s">
        <v>19</v>
      </c>
      <c r="C19" s="11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56</v>
      </c>
      <c r="D21" s="59"/>
      <c r="E21" s="59"/>
      <c r="F21" s="59"/>
      <c r="G21" s="60"/>
    </row>
    <row r="22" spans="1:7" ht="20.25" x14ac:dyDescent="0.25">
      <c r="A22" s="78"/>
      <c r="B22" s="81">
        <v>2</v>
      </c>
      <c r="C22" s="71" t="s">
        <v>32</v>
      </c>
      <c r="D22" s="59"/>
      <c r="E22" s="59"/>
      <c r="F22" s="59"/>
      <c r="G22" s="60"/>
    </row>
    <row r="23" spans="1:7" ht="20.25" x14ac:dyDescent="0.25">
      <c r="A23" s="78"/>
      <c r="B23" s="79">
        <v>3</v>
      </c>
      <c r="C23" s="70" t="s">
        <v>49</v>
      </c>
      <c r="D23" s="59"/>
      <c r="E23" s="59"/>
      <c r="F23" s="59"/>
      <c r="G23" s="60"/>
    </row>
    <row r="24" spans="1:7" ht="20.25" x14ac:dyDescent="0.25">
      <c r="A24" s="78"/>
      <c r="B24" s="81">
        <v>4</v>
      </c>
      <c r="C24" s="71" t="s">
        <v>48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50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54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1" t="s">
        <v>55</v>
      </c>
      <c r="D27" s="59"/>
      <c r="E27" s="59"/>
      <c r="F27" s="59"/>
      <c r="G27" s="60"/>
    </row>
    <row r="28" spans="1:7" ht="20.25" x14ac:dyDescent="0.25">
      <c r="A28" s="78"/>
      <c r="B28" s="81">
        <v>8</v>
      </c>
      <c r="C28" s="69" t="s">
        <v>27</v>
      </c>
      <c r="D28" s="59"/>
      <c r="E28" s="59"/>
      <c r="F28" s="59"/>
      <c r="G28" s="60"/>
    </row>
    <row r="29" spans="1:7" ht="20.25" x14ac:dyDescent="0.25">
      <c r="A29" s="78"/>
      <c r="B29" s="79">
        <v>9</v>
      </c>
      <c r="C29" s="70" t="s">
        <v>45</v>
      </c>
      <c r="D29" s="59"/>
      <c r="E29" s="59"/>
      <c r="F29" s="59"/>
      <c r="G29" s="60"/>
    </row>
    <row r="30" spans="1:7" ht="20.25" x14ac:dyDescent="0.25">
      <c r="A30" s="78"/>
      <c r="B30" s="81">
        <v>10</v>
      </c>
      <c r="C30" s="71" t="s">
        <v>29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28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39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1" t="s">
        <v>33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0" t="s">
        <v>41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0" t="s">
        <v>42</v>
      </c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 t="s">
        <v>40</v>
      </c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 t="s">
        <v>43</v>
      </c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 t="s">
        <v>44</v>
      </c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 t="s">
        <v>47</v>
      </c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0" t="s">
        <v>46</v>
      </c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 t="s">
        <v>51</v>
      </c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1" t="s">
        <v>52</v>
      </c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 t="s">
        <v>30</v>
      </c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115" t="s">
        <v>61</v>
      </c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116"/>
      <c r="D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" right="0.7" top="0.75" bottom="0.75" header="0.3" footer="0.3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2E19-5D1C-4CE5-B01B-3EC5636A64E9}">
  <sheetPr codeName="Feuil7">
    <pageSetUpPr fitToPage="1"/>
  </sheetPr>
  <dimension ref="A1:NW54"/>
  <sheetViews>
    <sheetView tabSelected="1" zoomScale="55" zoomScaleNormal="55" workbookViewId="0">
      <selection activeCell="C47" sqref="C47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387" ht="14.25" thickBot="1" x14ac:dyDescent="0.3">
      <c r="B1" s="21"/>
      <c r="C1" s="21"/>
    </row>
    <row r="2" spans="1:387" ht="42.75" customHeight="1" thickBot="1" x14ac:dyDescent="0.3">
      <c r="A2" s="19"/>
      <c r="B2" s="23" t="s">
        <v>5</v>
      </c>
      <c r="C2" s="15" t="s">
        <v>18</v>
      </c>
      <c r="D2" s="122" t="s">
        <v>34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35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36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37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4"/>
    </row>
    <row r="3" spans="1:387" ht="19.5" customHeight="1" x14ac:dyDescent="0.25">
      <c r="A3" s="19"/>
      <c r="B3" s="126" t="s">
        <v>21</v>
      </c>
      <c r="C3" s="16">
        <v>0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0"/>
      <c r="CS3" s="91"/>
      <c r="CT3" s="89"/>
      <c r="CU3" s="92"/>
      <c r="CV3" s="88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2"/>
      <c r="GN3" s="88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0"/>
      <c r="JW3" s="91"/>
      <c r="JX3" s="89"/>
      <c r="JY3" s="90"/>
      <c r="JZ3" s="91"/>
      <c r="KA3" s="89"/>
      <c r="KB3" s="90"/>
      <c r="KC3" s="91"/>
      <c r="KD3" s="89"/>
      <c r="KE3" s="92"/>
      <c r="KF3" s="88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91"/>
      <c r="LK3" s="89"/>
      <c r="LL3" s="90"/>
      <c r="LM3" s="91"/>
      <c r="LN3" s="89"/>
      <c r="LO3" s="90"/>
      <c r="LP3" s="91"/>
      <c r="LQ3" s="89"/>
      <c r="LR3" s="90"/>
      <c r="LS3" s="91"/>
      <c r="LT3" s="89"/>
      <c r="LU3" s="90"/>
      <c r="LV3" s="91"/>
      <c r="LW3" s="89"/>
      <c r="LX3" s="90"/>
      <c r="LY3" s="91"/>
      <c r="LZ3" s="89"/>
      <c r="MA3" s="90"/>
      <c r="MB3" s="91"/>
      <c r="MC3" s="89"/>
      <c r="MD3" s="90"/>
      <c r="ME3" s="91"/>
      <c r="MF3" s="89"/>
      <c r="MG3" s="90"/>
      <c r="MH3" s="91"/>
      <c r="MI3" s="89"/>
      <c r="MJ3" s="90"/>
      <c r="MK3" s="91"/>
      <c r="ML3" s="89"/>
      <c r="MM3" s="90"/>
      <c r="MN3" s="91"/>
      <c r="MO3" s="89"/>
      <c r="MP3" s="90"/>
      <c r="MQ3" s="91"/>
      <c r="MR3" s="89"/>
      <c r="MS3" s="90"/>
      <c r="MT3" s="91"/>
      <c r="MU3" s="89"/>
      <c r="MV3" s="90"/>
      <c r="MW3" s="91"/>
      <c r="MX3" s="89"/>
      <c r="MY3" s="90"/>
      <c r="MZ3" s="91"/>
      <c r="NA3" s="89"/>
      <c r="NB3" s="90"/>
      <c r="NC3" s="91"/>
      <c r="ND3" s="89"/>
      <c r="NE3" s="90"/>
      <c r="NF3" s="91"/>
      <c r="NG3" s="89"/>
      <c r="NH3" s="90"/>
      <c r="NI3" s="91"/>
      <c r="NJ3" s="89"/>
      <c r="NK3" s="90"/>
      <c r="NL3" s="91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2"/>
    </row>
    <row r="4" spans="1:387" ht="19.5" customHeight="1" thickBot="1" x14ac:dyDescent="0.3">
      <c r="A4" s="19"/>
      <c r="B4" s="127"/>
      <c r="C4" s="22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5"/>
      <c r="CS4" s="96"/>
      <c r="CT4" s="94"/>
      <c r="CU4" s="97"/>
      <c r="CV4" s="93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7"/>
      <c r="GN4" s="93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5"/>
      <c r="JW4" s="96"/>
      <c r="JX4" s="94"/>
      <c r="JY4" s="95"/>
      <c r="JZ4" s="96"/>
      <c r="KA4" s="94"/>
      <c r="KB4" s="95"/>
      <c r="KC4" s="96"/>
      <c r="KD4" s="94"/>
      <c r="KE4" s="97"/>
      <c r="KF4" s="93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5"/>
      <c r="NL4" s="96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7"/>
    </row>
    <row r="5" spans="1:387" ht="19.5" customHeight="1" x14ac:dyDescent="0.25">
      <c r="B5" s="120" t="str">
        <f>Donnees!$C$21</f>
        <v>Introduction</v>
      </c>
      <c r="C5" s="98">
        <v>3</v>
      </c>
      <c r="D5" s="106"/>
      <c r="E5" s="107"/>
      <c r="F5" s="108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0"/>
      <c r="AN5" s="91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0"/>
      <c r="BF5" s="91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0"/>
      <c r="CS5" s="91"/>
      <c r="CT5" s="89"/>
      <c r="CU5" s="92"/>
      <c r="CV5" s="88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2"/>
      <c r="GN5" s="88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0"/>
      <c r="JW5" s="91"/>
      <c r="JX5" s="89"/>
      <c r="JY5" s="90"/>
      <c r="JZ5" s="91"/>
      <c r="KA5" s="89"/>
      <c r="KB5" s="90"/>
      <c r="KC5" s="91"/>
      <c r="KD5" s="89"/>
      <c r="KE5" s="92"/>
      <c r="KF5" s="88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0"/>
      <c r="NL5" s="91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2"/>
    </row>
    <row r="6" spans="1:387" ht="19.5" customHeight="1" thickBot="1" x14ac:dyDescent="0.3">
      <c r="B6" s="121"/>
      <c r="C6" s="99">
        <v>3</v>
      </c>
      <c r="D6" s="128"/>
      <c r="E6" s="129"/>
      <c r="F6" s="130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5"/>
      <c r="CS6" s="96"/>
      <c r="CT6" s="94"/>
      <c r="CU6" s="97"/>
      <c r="CV6" s="93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7"/>
      <c r="GN6" s="93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5"/>
      <c r="JW6" s="96"/>
      <c r="JX6" s="94"/>
      <c r="JY6" s="95"/>
      <c r="JZ6" s="96"/>
      <c r="KA6" s="94"/>
      <c r="KB6" s="95"/>
      <c r="KC6" s="96"/>
      <c r="KD6" s="94"/>
      <c r="KE6" s="97"/>
      <c r="KF6" s="93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5"/>
      <c r="NL6" s="96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7"/>
    </row>
    <row r="7" spans="1:387" ht="19.5" customHeight="1" x14ac:dyDescent="0.25">
      <c r="B7" s="120" t="str">
        <f>Donnees!$C$22</f>
        <v>Planification initiale</v>
      </c>
      <c r="C7" s="98">
        <v>18</v>
      </c>
      <c r="D7" s="88"/>
      <c r="E7" s="89"/>
      <c r="F7" s="90"/>
      <c r="G7" s="109"/>
      <c r="H7" s="107"/>
      <c r="I7" s="108"/>
      <c r="J7" s="109"/>
      <c r="K7" s="107"/>
      <c r="L7" s="108"/>
      <c r="M7" s="109"/>
      <c r="N7" s="107"/>
      <c r="O7" s="108"/>
      <c r="P7" s="109"/>
      <c r="Q7" s="107"/>
      <c r="R7" s="108"/>
      <c r="S7" s="109"/>
      <c r="T7" s="107"/>
      <c r="U7" s="108"/>
      <c r="V7" s="109"/>
      <c r="W7" s="107"/>
      <c r="X7" s="108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0"/>
      <c r="CS7" s="91"/>
      <c r="CT7" s="89"/>
      <c r="CU7" s="92"/>
      <c r="CV7" s="88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2"/>
      <c r="GN7" s="88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0"/>
      <c r="JW7" s="91"/>
      <c r="JX7" s="89"/>
      <c r="JY7" s="90"/>
      <c r="JZ7" s="91"/>
      <c r="KA7" s="89"/>
      <c r="KB7" s="90"/>
      <c r="KC7" s="91"/>
      <c r="KD7" s="89"/>
      <c r="KE7" s="92"/>
      <c r="KF7" s="88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0"/>
      <c r="NL7" s="91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2"/>
    </row>
    <row r="8" spans="1:387" ht="19.5" customHeight="1" thickBot="1" x14ac:dyDescent="0.3">
      <c r="B8" s="121"/>
      <c r="C8" s="99">
        <v>18</v>
      </c>
      <c r="D8" s="93"/>
      <c r="E8" s="94"/>
      <c r="F8" s="95"/>
      <c r="G8" s="131"/>
      <c r="H8" s="129"/>
      <c r="I8" s="130"/>
      <c r="J8" s="131"/>
      <c r="K8" s="129"/>
      <c r="L8" s="130"/>
      <c r="M8" s="131"/>
      <c r="N8" s="129"/>
      <c r="O8" s="130"/>
      <c r="P8" s="131"/>
      <c r="Q8" s="129"/>
      <c r="R8" s="130"/>
      <c r="S8" s="131"/>
      <c r="T8" s="129"/>
      <c r="U8" s="130"/>
      <c r="V8" s="131"/>
      <c r="W8" s="129"/>
      <c r="X8" s="130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5"/>
      <c r="CS8" s="96"/>
      <c r="CT8" s="94"/>
      <c r="CU8" s="97"/>
      <c r="CV8" s="93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7"/>
      <c r="GN8" s="93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5"/>
      <c r="JW8" s="96"/>
      <c r="JX8" s="94"/>
      <c r="JY8" s="95"/>
      <c r="JZ8" s="96"/>
      <c r="KA8" s="94"/>
      <c r="KB8" s="95"/>
      <c r="KC8" s="96"/>
      <c r="KD8" s="94"/>
      <c r="KE8" s="97"/>
      <c r="KF8" s="93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5"/>
      <c r="NL8" s="96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7"/>
    </row>
    <row r="9" spans="1:387" ht="19.5" customHeight="1" x14ac:dyDescent="0.25">
      <c r="B9" s="120" t="str">
        <f>Donnees!$C$23</f>
        <v>Analyse - Schéma logique et physique</v>
      </c>
      <c r="C9" s="98">
        <v>12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109"/>
      <c r="Z9" s="107"/>
      <c r="AA9" s="108"/>
      <c r="AB9" s="109"/>
      <c r="AC9" s="107"/>
      <c r="AD9" s="108"/>
      <c r="AE9" s="109"/>
      <c r="AF9" s="107"/>
      <c r="AG9" s="108"/>
      <c r="AH9" s="109"/>
      <c r="AI9" s="107"/>
      <c r="AJ9" s="108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0"/>
      <c r="CS9" s="91"/>
      <c r="CT9" s="89"/>
      <c r="CU9" s="92"/>
      <c r="CV9" s="88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2"/>
      <c r="GN9" s="88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0"/>
      <c r="JW9" s="91"/>
      <c r="JX9" s="89"/>
      <c r="JY9" s="90"/>
      <c r="JZ9" s="91"/>
      <c r="KA9" s="89"/>
      <c r="KB9" s="90"/>
      <c r="KC9" s="91"/>
      <c r="KD9" s="89"/>
      <c r="KE9" s="92"/>
      <c r="KF9" s="88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0"/>
      <c r="NL9" s="91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2"/>
    </row>
    <row r="10" spans="1:387" ht="19.5" customHeight="1" thickBot="1" x14ac:dyDescent="0.3">
      <c r="B10" s="121"/>
      <c r="C10" s="99">
        <v>18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131"/>
      <c r="Z10" s="129"/>
      <c r="AA10" s="130"/>
      <c r="AB10" s="131"/>
      <c r="AC10" s="129"/>
      <c r="AD10" s="130"/>
      <c r="AE10" s="131"/>
      <c r="AF10" s="129"/>
      <c r="AG10" s="130"/>
      <c r="AH10" s="131"/>
      <c r="AI10" s="129"/>
      <c r="AJ10" s="130"/>
      <c r="AK10" s="131"/>
      <c r="AL10" s="129"/>
      <c r="AM10" s="130"/>
      <c r="AN10" s="131"/>
      <c r="AO10" s="129"/>
      <c r="AP10" s="130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5"/>
      <c r="CS10" s="96"/>
      <c r="CT10" s="94"/>
      <c r="CU10" s="97"/>
      <c r="CV10" s="93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7"/>
      <c r="GN10" s="93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5"/>
      <c r="JW10" s="96"/>
      <c r="JX10" s="94"/>
      <c r="JY10" s="95"/>
      <c r="JZ10" s="96"/>
      <c r="KA10" s="94"/>
      <c r="KB10" s="95"/>
      <c r="KC10" s="96"/>
      <c r="KD10" s="94"/>
      <c r="KE10" s="97"/>
      <c r="KF10" s="93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5"/>
      <c r="NL10" s="96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7"/>
    </row>
    <row r="11" spans="1:387" ht="19.5" customHeight="1" x14ac:dyDescent="0.25">
      <c r="B11" s="120" t="str">
        <f>Donnees!$C$24</f>
        <v>Analyse - Concept de test</v>
      </c>
      <c r="C11" s="98">
        <v>15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109"/>
      <c r="AL11" s="107"/>
      <c r="AM11" s="108"/>
      <c r="AN11" s="109"/>
      <c r="AO11" s="107"/>
      <c r="AP11" s="108"/>
      <c r="AQ11" s="109"/>
      <c r="AR11" s="107"/>
      <c r="AS11" s="108"/>
      <c r="AT11" s="109"/>
      <c r="AU11" s="107"/>
      <c r="AV11" s="108"/>
      <c r="AW11" s="109"/>
      <c r="AX11" s="107"/>
      <c r="AY11" s="108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0"/>
      <c r="CS11" s="91"/>
      <c r="CT11" s="89"/>
      <c r="CU11" s="92"/>
      <c r="CV11" s="88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0"/>
      <c r="GH11" s="91"/>
      <c r="GI11" s="89"/>
      <c r="GJ11" s="90"/>
      <c r="GK11" s="91"/>
      <c r="GL11" s="89"/>
      <c r="GM11" s="92"/>
      <c r="GN11" s="88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0"/>
      <c r="JW11" s="91"/>
      <c r="JX11" s="89"/>
      <c r="JY11" s="90"/>
      <c r="JZ11" s="91"/>
      <c r="KA11" s="89"/>
      <c r="KB11" s="90"/>
      <c r="KC11" s="91"/>
      <c r="KD11" s="89"/>
      <c r="KE11" s="92"/>
      <c r="KF11" s="88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0"/>
      <c r="NL11" s="91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2"/>
    </row>
    <row r="12" spans="1:387" ht="19.5" customHeight="1" thickBot="1" x14ac:dyDescent="0.3">
      <c r="B12" s="121"/>
      <c r="C12" s="99">
        <v>9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131"/>
      <c r="AR12" s="129"/>
      <c r="AS12" s="130"/>
      <c r="AT12" s="131"/>
      <c r="AU12" s="129"/>
      <c r="AV12" s="130"/>
      <c r="AW12" s="131"/>
      <c r="AX12" s="129"/>
      <c r="AY12" s="130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5"/>
      <c r="CS12" s="96"/>
      <c r="CT12" s="94"/>
      <c r="CU12" s="97"/>
      <c r="CV12" s="93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7"/>
      <c r="GN12" s="93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5"/>
      <c r="JW12" s="96"/>
      <c r="JX12" s="94"/>
      <c r="JY12" s="95"/>
      <c r="JZ12" s="96"/>
      <c r="KA12" s="94"/>
      <c r="KB12" s="95"/>
      <c r="KC12" s="96"/>
      <c r="KD12" s="94"/>
      <c r="KE12" s="97"/>
      <c r="KF12" s="93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5"/>
      <c r="NL12" s="96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7"/>
    </row>
    <row r="13" spans="1:387" ht="19.5" customHeight="1" x14ac:dyDescent="0.25">
      <c r="B13" s="120" t="str">
        <f>Donnees!$C$25</f>
        <v>Analyse - Concept de sécurité</v>
      </c>
      <c r="C13" s="98">
        <v>12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109"/>
      <c r="BA13" s="107"/>
      <c r="BB13" s="108"/>
      <c r="BC13" s="109"/>
      <c r="BD13" s="107"/>
      <c r="BE13" s="108"/>
      <c r="BF13" s="109"/>
      <c r="BG13" s="107"/>
      <c r="BH13" s="108"/>
      <c r="BI13" s="109"/>
      <c r="BJ13" s="107"/>
      <c r="BK13" s="108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0"/>
      <c r="CS13" s="91"/>
      <c r="CT13" s="89"/>
      <c r="CU13" s="92"/>
      <c r="CV13" s="88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2"/>
      <c r="GN13" s="88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0"/>
      <c r="JW13" s="91"/>
      <c r="JX13" s="89"/>
      <c r="JY13" s="90"/>
      <c r="JZ13" s="91"/>
      <c r="KA13" s="89"/>
      <c r="KB13" s="90"/>
      <c r="KC13" s="91"/>
      <c r="KD13" s="89"/>
      <c r="KE13" s="92"/>
      <c r="KF13" s="88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0"/>
      <c r="NL13" s="91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2"/>
    </row>
    <row r="14" spans="1:387" ht="19.5" customHeight="1" thickBot="1" x14ac:dyDescent="0.3">
      <c r="B14" s="121"/>
      <c r="C14" s="99">
        <v>6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131"/>
      <c r="BA14" s="129"/>
      <c r="BB14" s="130"/>
      <c r="BC14" s="131"/>
      <c r="BD14" s="129"/>
      <c r="BE14" s="130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5"/>
      <c r="CS14" s="96"/>
      <c r="CT14" s="94"/>
      <c r="CU14" s="97"/>
      <c r="CV14" s="93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7"/>
      <c r="GN14" s="93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5"/>
      <c r="JW14" s="96"/>
      <c r="JX14" s="94"/>
      <c r="JY14" s="95"/>
      <c r="JZ14" s="96"/>
      <c r="KA14" s="94"/>
      <c r="KB14" s="95"/>
      <c r="KC14" s="96"/>
      <c r="KD14" s="94"/>
      <c r="KE14" s="97"/>
      <c r="KF14" s="93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5"/>
      <c r="NL14" s="96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7"/>
    </row>
    <row r="15" spans="1:387" ht="19.5" customHeight="1" x14ac:dyDescent="0.25">
      <c r="B15" s="120" t="str">
        <f>Donnees!$C$26</f>
        <v>Analyse - Architecture logique</v>
      </c>
      <c r="C15" s="98">
        <v>6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109"/>
      <c r="BM15" s="107"/>
      <c r="BN15" s="108"/>
      <c r="BO15" s="109"/>
      <c r="BP15" s="107"/>
      <c r="BQ15" s="108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0"/>
      <c r="CS15" s="91"/>
      <c r="CT15" s="89"/>
      <c r="CU15" s="92"/>
      <c r="CV15" s="88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2"/>
      <c r="GN15" s="88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0"/>
      <c r="JW15" s="91"/>
      <c r="JX15" s="89"/>
      <c r="JY15" s="90"/>
      <c r="JZ15" s="91"/>
      <c r="KA15" s="89"/>
      <c r="KB15" s="90"/>
      <c r="KC15" s="91"/>
      <c r="KD15" s="89"/>
      <c r="KE15" s="92"/>
      <c r="KF15" s="88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0"/>
      <c r="NL15" s="91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2"/>
    </row>
    <row r="16" spans="1:387" ht="19.5" customHeight="1" thickBot="1" x14ac:dyDescent="0.3">
      <c r="A16" s="41"/>
      <c r="B16" s="121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131"/>
      <c r="BG16" s="129"/>
      <c r="BH16" s="130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5"/>
      <c r="CS16" s="96"/>
      <c r="CT16" s="94"/>
      <c r="CU16" s="97"/>
      <c r="CV16" s="93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7"/>
      <c r="GN16" s="93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5"/>
      <c r="JW16" s="96"/>
      <c r="JX16" s="94"/>
      <c r="JY16" s="95"/>
      <c r="JZ16" s="96"/>
      <c r="KA16" s="94"/>
      <c r="KB16" s="95"/>
      <c r="KC16" s="96"/>
      <c r="KD16" s="94"/>
      <c r="KE16" s="97"/>
      <c r="KF16" s="93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5"/>
      <c r="NL16" s="96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7"/>
    </row>
    <row r="17" spans="2:387" ht="19.5" customHeight="1" x14ac:dyDescent="0.25">
      <c r="B17" s="120" t="str">
        <f>Donnees!$C$27</f>
        <v>Analyse - utilisateurs, groupes et permissions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109"/>
      <c r="BS17" s="107"/>
      <c r="BT17" s="108"/>
      <c r="BU17" s="109"/>
      <c r="BV17" s="107"/>
      <c r="BW17" s="108"/>
      <c r="BX17" s="109"/>
      <c r="BY17" s="107"/>
      <c r="BZ17" s="108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0"/>
      <c r="CS17" s="91"/>
      <c r="CT17" s="89"/>
      <c r="CU17" s="92"/>
      <c r="CV17" s="88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2"/>
      <c r="GN17" s="88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0"/>
      <c r="JW17" s="91"/>
      <c r="JX17" s="89"/>
      <c r="JY17" s="90"/>
      <c r="JZ17" s="91"/>
      <c r="KA17" s="89"/>
      <c r="KB17" s="90"/>
      <c r="KC17" s="91"/>
      <c r="KD17" s="89"/>
      <c r="KE17" s="92"/>
      <c r="KF17" s="88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0"/>
      <c r="NL17" s="91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2"/>
    </row>
    <row r="18" spans="2:387" ht="19.5" customHeight="1" thickBot="1" x14ac:dyDescent="0.3">
      <c r="B18" s="121"/>
      <c r="C18" s="99">
        <v>6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131"/>
      <c r="BJ18" s="129"/>
      <c r="BK18" s="130"/>
      <c r="BL18" s="131"/>
      <c r="BM18" s="129"/>
      <c r="BN18" s="130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5"/>
      <c r="CS18" s="96"/>
      <c r="CT18" s="94"/>
      <c r="CU18" s="97"/>
      <c r="CV18" s="93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7"/>
      <c r="GN18" s="93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5"/>
      <c r="JW18" s="96"/>
      <c r="JX18" s="94"/>
      <c r="JY18" s="95"/>
      <c r="JZ18" s="96"/>
      <c r="KA18" s="94"/>
      <c r="KB18" s="95"/>
      <c r="KC18" s="96"/>
      <c r="KD18" s="94"/>
      <c r="KE18" s="97"/>
      <c r="KF18" s="93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5"/>
      <c r="NL18" s="96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7"/>
    </row>
    <row r="19" spans="2:387" ht="19.5" customHeight="1" x14ac:dyDescent="0.25">
      <c r="B19" s="125" t="str">
        <f>Donnees!$C$28</f>
        <v>Configuration du windows serveur</v>
      </c>
      <c r="C19" s="98">
        <v>21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0"/>
      <c r="CS19" s="91"/>
      <c r="CT19" s="89"/>
      <c r="CU19" s="92"/>
      <c r="CV19" s="106"/>
      <c r="CW19" s="107"/>
      <c r="CX19" s="108"/>
      <c r="CY19" s="109"/>
      <c r="CZ19" s="107"/>
      <c r="DA19" s="108"/>
      <c r="DB19" s="109"/>
      <c r="DC19" s="107"/>
      <c r="DD19" s="108"/>
      <c r="DE19" s="109"/>
      <c r="DF19" s="107"/>
      <c r="DG19" s="108"/>
      <c r="DH19" s="109"/>
      <c r="DI19" s="107"/>
      <c r="DJ19" s="108"/>
      <c r="DK19" s="109"/>
      <c r="DL19" s="107"/>
      <c r="DM19" s="108"/>
      <c r="DN19" s="109"/>
      <c r="DO19" s="107"/>
      <c r="DP19" s="108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2"/>
      <c r="GN19" s="88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0"/>
      <c r="JW19" s="91"/>
      <c r="JX19" s="89"/>
      <c r="JY19" s="90"/>
      <c r="JZ19" s="91"/>
      <c r="KA19" s="89"/>
      <c r="KB19" s="90"/>
      <c r="KC19" s="91"/>
      <c r="KD19" s="89"/>
      <c r="KE19" s="92"/>
      <c r="KF19" s="88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0"/>
      <c r="NL19" s="91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2"/>
    </row>
    <row r="20" spans="2:387" ht="19.5" customHeight="1" thickBot="1" x14ac:dyDescent="0.3">
      <c r="B20" s="121"/>
      <c r="C20" s="99">
        <v>28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5"/>
      <c r="CS20" s="96"/>
      <c r="CT20" s="94"/>
      <c r="CU20" s="97"/>
      <c r="CV20" s="128"/>
      <c r="CW20" s="129"/>
      <c r="CX20" s="130"/>
      <c r="CY20" s="131"/>
      <c r="CZ20" s="129"/>
      <c r="DA20" s="130"/>
      <c r="DB20" s="131"/>
      <c r="DC20" s="129"/>
      <c r="DD20" s="130"/>
      <c r="DE20" s="131"/>
      <c r="DF20" s="129"/>
      <c r="DG20" s="130"/>
      <c r="DH20" s="131"/>
      <c r="DI20" s="129"/>
      <c r="DJ20" s="130"/>
      <c r="DK20" s="131"/>
      <c r="DL20" s="129"/>
      <c r="DM20" s="130"/>
      <c r="DN20" s="131"/>
      <c r="DO20" s="129"/>
      <c r="DP20" s="130"/>
      <c r="DQ20" s="131"/>
      <c r="DR20" s="129"/>
      <c r="DS20" s="130"/>
      <c r="DT20" s="131"/>
      <c r="DU20" s="129"/>
      <c r="DV20" s="130"/>
      <c r="DW20" s="131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7"/>
      <c r="GN20" s="93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5"/>
      <c r="JW20" s="96"/>
      <c r="JX20" s="94"/>
      <c r="JY20" s="95"/>
      <c r="JZ20" s="96"/>
      <c r="KA20" s="94"/>
      <c r="KB20" s="95"/>
      <c r="KC20" s="96"/>
      <c r="KD20" s="94"/>
      <c r="KE20" s="97"/>
      <c r="KF20" s="93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5"/>
      <c r="NL20" s="96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7"/>
    </row>
    <row r="21" spans="2:387" ht="19.5" customHeight="1" x14ac:dyDescent="0.25">
      <c r="B21" s="120" t="str">
        <f>Donnees!$C$29</f>
        <v>Configuration du switch Bullet</v>
      </c>
      <c r="C21" s="98">
        <v>3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0"/>
      <c r="CS21" s="91"/>
      <c r="CT21" s="89"/>
      <c r="CU21" s="92"/>
      <c r="CV21" s="88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109"/>
      <c r="DR21" s="107"/>
      <c r="DS21" s="108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2"/>
      <c r="GN21" s="88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0"/>
      <c r="JW21" s="91"/>
      <c r="JX21" s="89"/>
      <c r="JY21" s="90"/>
      <c r="JZ21" s="91"/>
      <c r="KA21" s="89"/>
      <c r="KB21" s="90"/>
      <c r="KC21" s="91"/>
      <c r="KD21" s="89"/>
      <c r="KE21" s="92"/>
      <c r="KF21" s="88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0"/>
      <c r="NL21" s="91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2"/>
    </row>
    <row r="22" spans="2:387" ht="19.5" customHeight="1" thickBot="1" x14ac:dyDescent="0.3">
      <c r="B22" s="121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5"/>
      <c r="CS22" s="96"/>
      <c r="CT22" s="94"/>
      <c r="CU22" s="97"/>
      <c r="CV22" s="93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129"/>
      <c r="DY22" s="130"/>
      <c r="DZ22" s="131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7"/>
      <c r="GN22" s="93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5"/>
      <c r="JW22" s="96"/>
      <c r="JX22" s="94"/>
      <c r="JY22" s="95"/>
      <c r="JZ22" s="96"/>
      <c r="KA22" s="94"/>
      <c r="KB22" s="95"/>
      <c r="KC22" s="96"/>
      <c r="KD22" s="94"/>
      <c r="KE22" s="97"/>
      <c r="KF22" s="93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5"/>
      <c r="NL22" s="96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7"/>
    </row>
    <row r="23" spans="2:387" ht="19.5" customHeight="1" x14ac:dyDescent="0.25">
      <c r="B23" s="120" t="str">
        <f>Donnees!$C$30</f>
        <v>Configuration du Firewall</v>
      </c>
      <c r="C23" s="98">
        <v>12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0"/>
      <c r="CS23" s="91"/>
      <c r="CT23" s="89"/>
      <c r="CU23" s="92"/>
      <c r="CV23" s="88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109"/>
      <c r="DU23" s="107"/>
      <c r="DV23" s="108"/>
      <c r="DW23" s="109"/>
      <c r="DX23" s="107"/>
      <c r="DY23" s="108"/>
      <c r="DZ23" s="109"/>
      <c r="EA23" s="107"/>
      <c r="EB23" s="108"/>
      <c r="EC23" s="109"/>
      <c r="ED23" s="107"/>
      <c r="EE23" s="108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89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0"/>
      <c r="FJ23" s="91"/>
      <c r="FK23" s="8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0"/>
      <c r="GH23" s="91"/>
      <c r="GI23" s="89"/>
      <c r="GJ23" s="90"/>
      <c r="GK23" s="91"/>
      <c r="GL23" s="89"/>
      <c r="GM23" s="92"/>
      <c r="GN23" s="88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0"/>
      <c r="JW23" s="91"/>
      <c r="JX23" s="89"/>
      <c r="JY23" s="90"/>
      <c r="JZ23" s="91"/>
      <c r="KA23" s="89"/>
      <c r="KB23" s="90"/>
      <c r="KC23" s="91"/>
      <c r="KD23" s="89"/>
      <c r="KE23" s="92"/>
      <c r="KF23" s="88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0"/>
      <c r="NL23" s="91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2"/>
    </row>
    <row r="24" spans="2:387" ht="19.5" customHeight="1" thickBot="1" x14ac:dyDescent="0.3">
      <c r="B24" s="121"/>
      <c r="C24" s="99">
        <v>9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5"/>
      <c r="CS24" s="96"/>
      <c r="CT24" s="94"/>
      <c r="CU24" s="97"/>
      <c r="CV24" s="93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129"/>
      <c r="EB24" s="130"/>
      <c r="EC24" s="131"/>
      <c r="ED24" s="129"/>
      <c r="EE24" s="130"/>
      <c r="EF24" s="131"/>
      <c r="EG24" s="129"/>
      <c r="EH24" s="130"/>
      <c r="EI24" s="131"/>
      <c r="EJ24" s="94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7"/>
      <c r="GN24" s="93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5"/>
      <c r="JW24" s="96"/>
      <c r="JX24" s="94"/>
      <c r="JY24" s="95"/>
      <c r="JZ24" s="96"/>
      <c r="KA24" s="94"/>
      <c r="KB24" s="95"/>
      <c r="KC24" s="96"/>
      <c r="KD24" s="94"/>
      <c r="KE24" s="97"/>
      <c r="KF24" s="93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5"/>
      <c r="NL24" s="96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7"/>
    </row>
    <row r="25" spans="2:387" ht="19.5" customHeight="1" x14ac:dyDescent="0.25">
      <c r="B25" s="120" t="str">
        <f>Donnees!$C$31</f>
        <v>Configuration des postes de travail</v>
      </c>
      <c r="C25" s="98">
        <v>9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0"/>
      <c r="CS25" s="91"/>
      <c r="CT25" s="89"/>
      <c r="CU25" s="92"/>
      <c r="CV25" s="88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109"/>
      <c r="EG25" s="107"/>
      <c r="EH25" s="108"/>
      <c r="EI25" s="109"/>
      <c r="EJ25" s="107"/>
      <c r="EK25" s="108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2"/>
      <c r="GN25" s="88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90"/>
      <c r="HL25" s="91"/>
      <c r="HM25" s="89"/>
      <c r="HN25" s="90"/>
      <c r="HO25" s="91"/>
      <c r="HP25" s="89"/>
      <c r="HQ25" s="90"/>
      <c r="HR25" s="91"/>
      <c r="HS25" s="89"/>
      <c r="HT25" s="90"/>
      <c r="HU25" s="91"/>
      <c r="HV25" s="89"/>
      <c r="HW25" s="90"/>
      <c r="HX25" s="91"/>
      <c r="HY25" s="89"/>
      <c r="HZ25" s="90"/>
      <c r="IA25" s="91"/>
      <c r="IB25" s="89"/>
      <c r="IC25" s="90"/>
      <c r="ID25" s="91"/>
      <c r="IE25" s="89"/>
      <c r="IF25" s="90"/>
      <c r="IG25" s="109"/>
      <c r="IH25" s="107"/>
      <c r="II25" s="108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0"/>
      <c r="JW25" s="91"/>
      <c r="JX25" s="89"/>
      <c r="JY25" s="90"/>
      <c r="JZ25" s="91"/>
      <c r="KA25" s="89"/>
      <c r="KB25" s="90"/>
      <c r="KC25" s="91"/>
      <c r="KD25" s="89"/>
      <c r="KE25" s="92"/>
      <c r="KF25" s="88"/>
      <c r="KG25" s="89"/>
      <c r="KH25" s="90"/>
      <c r="KI25" s="91"/>
      <c r="KJ25" s="89"/>
      <c r="KK25" s="90"/>
      <c r="KL25" s="91"/>
      <c r="KM25" s="89"/>
      <c r="KN25" s="90"/>
      <c r="KO25" s="91"/>
      <c r="KP25" s="89"/>
      <c r="KQ25" s="90"/>
      <c r="KR25" s="91"/>
      <c r="KS25" s="89"/>
      <c r="KT25" s="90"/>
      <c r="KU25" s="91"/>
      <c r="KV25" s="89"/>
      <c r="KW25" s="90"/>
      <c r="KX25" s="91"/>
      <c r="KY25" s="89"/>
      <c r="KZ25" s="90"/>
      <c r="LA25" s="91"/>
      <c r="LB25" s="89"/>
      <c r="LC25" s="90"/>
      <c r="LD25" s="91"/>
      <c r="LE25" s="89"/>
      <c r="LF25" s="90"/>
      <c r="LG25" s="91"/>
      <c r="LH25" s="8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0"/>
      <c r="NL25" s="91"/>
      <c r="NM25" s="89"/>
      <c r="NN25" s="90"/>
      <c r="NO25" s="91"/>
      <c r="NP25" s="89"/>
      <c r="NQ25" s="90"/>
      <c r="NR25" s="91"/>
      <c r="NS25" s="89"/>
      <c r="NT25" s="90"/>
      <c r="NU25" s="91"/>
      <c r="NV25" s="89"/>
      <c r="NW25" s="92"/>
    </row>
    <row r="26" spans="2:387" ht="19.5" customHeight="1" thickBot="1" x14ac:dyDescent="0.3">
      <c r="B26" s="121"/>
      <c r="C26" s="99">
        <v>3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5"/>
      <c r="CS26" s="96"/>
      <c r="CT26" s="94"/>
      <c r="CU26" s="97"/>
      <c r="CV26" s="93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129"/>
      <c r="EK26" s="130"/>
      <c r="EL26" s="131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7"/>
      <c r="GN26" s="93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5"/>
      <c r="JW26" s="96"/>
      <c r="JX26" s="94"/>
      <c r="JY26" s="95"/>
      <c r="JZ26" s="96"/>
      <c r="KA26" s="94"/>
      <c r="KB26" s="95"/>
      <c r="KC26" s="96"/>
      <c r="KD26" s="94"/>
      <c r="KE26" s="97"/>
      <c r="KF26" s="93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5"/>
      <c r="NL26" s="96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7"/>
    </row>
    <row r="27" spans="2:387" ht="19.5" customHeight="1" x14ac:dyDescent="0.25">
      <c r="B27" s="120" t="str">
        <f>Donnees!$C$32</f>
        <v>Configuration du routeur Bullet</v>
      </c>
      <c r="C27" s="98">
        <v>6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0"/>
      <c r="CS27" s="91"/>
      <c r="CT27" s="89"/>
      <c r="CU27" s="92"/>
      <c r="CV27" s="88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109"/>
      <c r="EM27" s="107"/>
      <c r="EN27" s="108"/>
      <c r="EO27" s="109"/>
      <c r="EP27" s="107"/>
      <c r="EQ27" s="108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2"/>
      <c r="GN27" s="88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0"/>
      <c r="JW27" s="91"/>
      <c r="JX27" s="89"/>
      <c r="JY27" s="90"/>
      <c r="JZ27" s="91"/>
      <c r="KA27" s="89"/>
      <c r="KB27" s="90"/>
      <c r="KC27" s="91"/>
      <c r="KD27" s="89"/>
      <c r="KE27" s="92"/>
      <c r="KF27" s="88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0"/>
      <c r="NL27" s="91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2"/>
    </row>
    <row r="28" spans="2:387" ht="19.5" customHeight="1" thickBot="1" x14ac:dyDescent="0.3">
      <c r="B28" s="121"/>
      <c r="C28" s="99">
        <v>5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5"/>
      <c r="CS28" s="96"/>
      <c r="CT28" s="94"/>
      <c r="CU28" s="97"/>
      <c r="CV28" s="93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129"/>
      <c r="EN28" s="130"/>
      <c r="EO28" s="131"/>
      <c r="EP28" s="129"/>
      <c r="EQ28" s="130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7"/>
      <c r="GN28" s="93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5"/>
      <c r="JW28" s="96"/>
      <c r="JX28" s="94"/>
      <c r="JY28" s="95"/>
      <c r="JZ28" s="96"/>
      <c r="KA28" s="94"/>
      <c r="KB28" s="95"/>
      <c r="KC28" s="96"/>
      <c r="KD28" s="94"/>
      <c r="KE28" s="97"/>
      <c r="KF28" s="93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5"/>
      <c r="NL28" s="96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7"/>
    </row>
    <row r="29" spans="2:387" ht="19.5" customHeight="1" x14ac:dyDescent="0.25">
      <c r="B29" s="120" t="str">
        <f>Donnees!$C$33</f>
        <v>Configuration du Nas</v>
      </c>
      <c r="C29" s="98">
        <v>12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0"/>
      <c r="CS29" s="91"/>
      <c r="CT29" s="89"/>
      <c r="CU29" s="92"/>
      <c r="CV29" s="88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109"/>
      <c r="ES29" s="107"/>
      <c r="ET29" s="108"/>
      <c r="EU29" s="109"/>
      <c r="EV29" s="107"/>
      <c r="EW29" s="108"/>
      <c r="EX29" s="109"/>
      <c r="EY29" s="107"/>
      <c r="EZ29" s="108"/>
      <c r="FA29" s="109"/>
      <c r="FB29" s="107"/>
      <c r="FC29" s="108"/>
      <c r="FD29" s="91"/>
      <c r="FE29" s="89"/>
      <c r="FF29" s="90"/>
      <c r="FG29" s="91"/>
      <c r="FH29" s="89"/>
      <c r="FI29" s="90"/>
      <c r="FJ29" s="91"/>
      <c r="FK29" s="89"/>
      <c r="FL29" s="90"/>
      <c r="FM29" s="91"/>
      <c r="FN29" s="89"/>
      <c r="FO29" s="90"/>
      <c r="FP29" s="91"/>
      <c r="FQ29" s="89"/>
      <c r="FR29" s="90"/>
      <c r="FS29" s="91"/>
      <c r="FT29" s="89"/>
      <c r="FU29" s="90"/>
      <c r="FV29" s="91"/>
      <c r="FW29" s="89"/>
      <c r="FX29" s="90"/>
      <c r="FY29" s="91"/>
      <c r="FZ29" s="89"/>
      <c r="GA29" s="90"/>
      <c r="GB29" s="91"/>
      <c r="GC29" s="89"/>
      <c r="GD29" s="90"/>
      <c r="GE29" s="91"/>
      <c r="GF29" s="89"/>
      <c r="GG29" s="90"/>
      <c r="GH29" s="91"/>
      <c r="GI29" s="89"/>
      <c r="GJ29" s="90"/>
      <c r="GK29" s="91"/>
      <c r="GL29" s="89"/>
      <c r="GM29" s="92"/>
      <c r="GN29" s="88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0"/>
      <c r="JW29" s="91"/>
      <c r="JX29" s="89"/>
      <c r="JY29" s="90"/>
      <c r="JZ29" s="91"/>
      <c r="KA29" s="89"/>
      <c r="KB29" s="90"/>
      <c r="KC29" s="91"/>
      <c r="KD29" s="89"/>
      <c r="KE29" s="92"/>
      <c r="KF29" s="88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0"/>
      <c r="NL29" s="91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2"/>
    </row>
    <row r="30" spans="2:387" ht="19.5" customHeight="1" thickBot="1" x14ac:dyDescent="0.3">
      <c r="B30" s="121"/>
      <c r="C30" s="99">
        <v>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5"/>
      <c r="CS30" s="96"/>
      <c r="CT30" s="94"/>
      <c r="CU30" s="97"/>
      <c r="CV30" s="93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5"/>
      <c r="ER30" s="131"/>
      <c r="ES30" s="129"/>
      <c r="ET30" s="130"/>
      <c r="EU30" s="131"/>
      <c r="EV30" s="129"/>
      <c r="EW30" s="130"/>
      <c r="EX30" s="131"/>
      <c r="EY30" s="129"/>
      <c r="EZ30" s="130"/>
      <c r="FA30" s="96"/>
      <c r="FB30" s="94"/>
      <c r="FC30" s="95"/>
      <c r="FD30" s="96"/>
      <c r="FE30" s="94"/>
      <c r="FF30" s="95"/>
      <c r="FG30" s="96"/>
      <c r="FH30" s="94"/>
      <c r="FI30" s="95"/>
      <c r="FJ30" s="96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7"/>
      <c r="GN30" s="93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5"/>
      <c r="JW30" s="96"/>
      <c r="JX30" s="94"/>
      <c r="JY30" s="95"/>
      <c r="JZ30" s="96"/>
      <c r="KA30" s="94"/>
      <c r="KB30" s="95"/>
      <c r="KC30" s="96"/>
      <c r="KD30" s="94"/>
      <c r="KE30" s="97"/>
      <c r="KF30" s="93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5"/>
      <c r="NL30" s="96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7"/>
    </row>
    <row r="31" spans="2:387" ht="19.5" customHeight="1" x14ac:dyDescent="0.25">
      <c r="B31" s="120" t="str">
        <f>Donnees!$C$34</f>
        <v>Configuration de l'imprimante Bullet</v>
      </c>
      <c r="C31" s="98">
        <v>9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0"/>
      <c r="CS31" s="91"/>
      <c r="CT31" s="89"/>
      <c r="CU31" s="92"/>
      <c r="CV31" s="88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109"/>
      <c r="FE31" s="107"/>
      <c r="FF31" s="108"/>
      <c r="FG31" s="109"/>
      <c r="FH31" s="107"/>
      <c r="FI31" s="108"/>
      <c r="FJ31" s="109"/>
      <c r="FK31" s="107"/>
      <c r="FL31" s="108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2"/>
      <c r="GN31" s="88"/>
      <c r="GO31" s="89"/>
      <c r="GP31" s="90"/>
      <c r="GQ31" s="91"/>
      <c r="GR31" s="89"/>
      <c r="GS31" s="90"/>
      <c r="GT31" s="91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0"/>
      <c r="JW31" s="91"/>
      <c r="JX31" s="89"/>
      <c r="JY31" s="90"/>
      <c r="JZ31" s="91"/>
      <c r="KA31" s="89"/>
      <c r="KB31" s="90"/>
      <c r="KC31" s="91"/>
      <c r="KD31" s="89"/>
      <c r="KE31" s="92"/>
      <c r="KF31" s="88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0"/>
      <c r="NL31" s="91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2"/>
    </row>
    <row r="32" spans="2:387" ht="19.5" customHeight="1" thickBot="1" x14ac:dyDescent="0.3">
      <c r="B32" s="121"/>
      <c r="C32" s="99">
        <v>1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5"/>
      <c r="CS32" s="96"/>
      <c r="CT32" s="94"/>
      <c r="CU32" s="97"/>
      <c r="CV32" s="93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131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5"/>
      <c r="GB32" s="96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7"/>
      <c r="GN32" s="93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5"/>
      <c r="JW32" s="96"/>
      <c r="JX32" s="94"/>
      <c r="JY32" s="95"/>
      <c r="JZ32" s="96"/>
      <c r="KA32" s="94"/>
      <c r="KB32" s="95"/>
      <c r="KC32" s="96"/>
      <c r="KD32" s="94"/>
      <c r="KE32" s="97"/>
      <c r="KF32" s="93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5"/>
      <c r="NL32" s="96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7"/>
    </row>
    <row r="33" spans="2:387" ht="19.5" customHeight="1" x14ac:dyDescent="0.25">
      <c r="B33" s="120" t="str">
        <f>Donnees!$C$35</f>
        <v>Configuration du serveur redondant</v>
      </c>
      <c r="C33" s="98">
        <v>21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0"/>
      <c r="CS33" s="91"/>
      <c r="CT33" s="89"/>
      <c r="CU33" s="92"/>
      <c r="CV33" s="88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0"/>
      <c r="GH33" s="91"/>
      <c r="GI33" s="89"/>
      <c r="GJ33" s="90"/>
      <c r="GK33" s="91"/>
      <c r="GL33" s="89"/>
      <c r="GM33" s="92"/>
      <c r="GN33" s="106"/>
      <c r="GO33" s="107"/>
      <c r="GP33" s="108"/>
      <c r="GQ33" s="109"/>
      <c r="GR33" s="107"/>
      <c r="GS33" s="108"/>
      <c r="GT33" s="109"/>
      <c r="GU33" s="107"/>
      <c r="GV33" s="108"/>
      <c r="GW33" s="109"/>
      <c r="GX33" s="107"/>
      <c r="GY33" s="108"/>
      <c r="GZ33" s="109"/>
      <c r="HA33" s="107"/>
      <c r="HB33" s="108"/>
      <c r="HC33" s="109"/>
      <c r="HD33" s="107"/>
      <c r="HE33" s="108"/>
      <c r="HF33" s="109"/>
      <c r="HG33" s="107"/>
      <c r="HH33" s="108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89"/>
      <c r="HZ33" s="90"/>
      <c r="IA33" s="91"/>
      <c r="IB33" s="89"/>
      <c r="IC33" s="90"/>
      <c r="ID33" s="91"/>
      <c r="IE33" s="89"/>
      <c r="IF33" s="90"/>
      <c r="IG33" s="91"/>
      <c r="IH33" s="89"/>
      <c r="II33" s="90"/>
      <c r="IJ33" s="91"/>
      <c r="IK33" s="89"/>
      <c r="IL33" s="90"/>
      <c r="IM33" s="91"/>
      <c r="IN33" s="89"/>
      <c r="IO33" s="90"/>
      <c r="IP33" s="91"/>
      <c r="IQ33" s="89"/>
      <c r="IR33" s="90"/>
      <c r="IS33" s="91"/>
      <c r="IT33" s="89"/>
      <c r="IU33" s="90"/>
      <c r="IV33" s="91"/>
      <c r="IW33" s="89"/>
      <c r="IX33" s="90"/>
      <c r="IY33" s="91"/>
      <c r="IZ33" s="89"/>
      <c r="JA33" s="90"/>
      <c r="JB33" s="91"/>
      <c r="JC33" s="89"/>
      <c r="JD33" s="90"/>
      <c r="JE33" s="9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0"/>
      <c r="JW33" s="91"/>
      <c r="JX33" s="89"/>
      <c r="JY33" s="90"/>
      <c r="JZ33" s="91"/>
      <c r="KA33" s="89"/>
      <c r="KB33" s="90"/>
      <c r="KC33" s="91"/>
      <c r="KD33" s="89"/>
      <c r="KE33" s="92"/>
      <c r="KF33" s="88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0"/>
      <c r="NL33" s="91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2"/>
    </row>
    <row r="34" spans="2:387" ht="19.5" customHeight="1" thickBot="1" x14ac:dyDescent="0.3">
      <c r="B34" s="121"/>
      <c r="C34" s="99">
        <v>32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5"/>
      <c r="CS34" s="96"/>
      <c r="CT34" s="94"/>
      <c r="CU34" s="97"/>
      <c r="CV34" s="93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5"/>
      <c r="GH34" s="96"/>
      <c r="GI34" s="94"/>
      <c r="GJ34" s="95"/>
      <c r="GK34" s="96"/>
      <c r="GL34" s="94"/>
      <c r="GM34" s="97"/>
      <c r="GN34" s="128"/>
      <c r="GO34" s="129"/>
      <c r="GP34" s="130"/>
      <c r="GQ34" s="131"/>
      <c r="GR34" s="129"/>
      <c r="GS34" s="130"/>
      <c r="GT34" s="131"/>
      <c r="GU34" s="129"/>
      <c r="GV34" s="130"/>
      <c r="GW34" s="131"/>
      <c r="GX34" s="129"/>
      <c r="GY34" s="130"/>
      <c r="GZ34" s="131"/>
      <c r="HA34" s="129"/>
      <c r="HB34" s="130"/>
      <c r="HC34" s="131"/>
      <c r="HD34" s="129"/>
      <c r="HE34" s="130"/>
      <c r="HF34" s="131"/>
      <c r="HG34" s="129"/>
      <c r="HH34" s="130"/>
      <c r="HI34" s="131"/>
      <c r="HJ34" s="129"/>
      <c r="HK34" s="130"/>
      <c r="HL34" s="131"/>
      <c r="HM34" s="129"/>
      <c r="HN34" s="130"/>
      <c r="HO34" s="131"/>
      <c r="HP34" s="129"/>
      <c r="HQ34" s="130"/>
      <c r="HR34" s="131"/>
      <c r="HS34" s="129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5"/>
      <c r="JW34" s="96"/>
      <c r="JX34" s="94"/>
      <c r="JY34" s="95"/>
      <c r="JZ34" s="96"/>
      <c r="KA34" s="94"/>
      <c r="KB34" s="95"/>
      <c r="KC34" s="96"/>
      <c r="KD34" s="94"/>
      <c r="KE34" s="97"/>
      <c r="KF34" s="93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5"/>
      <c r="NL34" s="96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7"/>
    </row>
    <row r="35" spans="2:387" ht="19.5" customHeight="1" x14ac:dyDescent="0.25">
      <c r="B35" s="120" t="str">
        <f>Donnees!$C$36</f>
        <v>Configuration de l'access point Bullet</v>
      </c>
      <c r="C35" s="98">
        <v>9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0"/>
      <c r="CS35" s="91"/>
      <c r="CT35" s="89"/>
      <c r="CU35" s="92"/>
      <c r="CV35" s="88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0"/>
      <c r="GH35" s="91"/>
      <c r="GI35" s="89"/>
      <c r="GJ35" s="90"/>
      <c r="GK35" s="91"/>
      <c r="GL35" s="89"/>
      <c r="GM35" s="92"/>
      <c r="GN35" s="88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09"/>
      <c r="HJ35" s="107"/>
      <c r="HK35" s="108"/>
      <c r="HL35" s="109"/>
      <c r="HM35" s="107"/>
      <c r="HN35" s="108"/>
      <c r="HO35" s="109"/>
      <c r="HP35" s="107"/>
      <c r="HQ35" s="108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90"/>
      <c r="JK35" s="9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0"/>
      <c r="JW35" s="91"/>
      <c r="JX35" s="89"/>
      <c r="JY35" s="90"/>
      <c r="JZ35" s="91"/>
      <c r="KA35" s="89"/>
      <c r="KB35" s="90"/>
      <c r="KC35" s="91"/>
      <c r="KD35" s="89"/>
      <c r="KE35" s="92"/>
      <c r="KF35" s="88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0"/>
      <c r="NL35" s="91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2"/>
    </row>
    <row r="36" spans="2:387" ht="19.5" customHeight="1" thickBot="1" x14ac:dyDescent="0.3">
      <c r="B36" s="121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5"/>
      <c r="CS36" s="96"/>
      <c r="CT36" s="94"/>
      <c r="CU36" s="97"/>
      <c r="CV36" s="93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96"/>
      <c r="FZ36" s="94"/>
      <c r="GA36" s="95"/>
      <c r="GB36" s="96"/>
      <c r="GC36" s="94"/>
      <c r="GD36" s="95"/>
      <c r="GE36" s="96"/>
      <c r="GF36" s="94"/>
      <c r="GG36" s="95"/>
      <c r="GH36" s="96"/>
      <c r="GI36" s="94"/>
      <c r="GJ36" s="95"/>
      <c r="GK36" s="96"/>
      <c r="GL36" s="94"/>
      <c r="GM36" s="97"/>
      <c r="GN36" s="93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94"/>
      <c r="HK36" s="95"/>
      <c r="HL36" s="96"/>
      <c r="HM36" s="94"/>
      <c r="HN36" s="95"/>
      <c r="HO36" s="96"/>
      <c r="HP36" s="94"/>
      <c r="HQ36" s="95"/>
      <c r="HR36" s="96"/>
      <c r="HS36" s="94"/>
      <c r="HT36" s="130"/>
      <c r="HU36" s="131"/>
      <c r="HV36" s="129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5"/>
      <c r="JW36" s="96"/>
      <c r="JX36" s="94"/>
      <c r="JY36" s="95"/>
      <c r="JZ36" s="96"/>
      <c r="KA36" s="94"/>
      <c r="KB36" s="95"/>
      <c r="KC36" s="96"/>
      <c r="KD36" s="94"/>
      <c r="KE36" s="97"/>
      <c r="KF36" s="93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5"/>
      <c r="NL36" s="96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7"/>
    </row>
    <row r="37" spans="2:387" ht="19.5" customHeight="1" x14ac:dyDescent="0.25">
      <c r="B37" s="120" t="str">
        <f>Donnees!$C$37</f>
        <v>Configuration Routeur Lausanne</v>
      </c>
      <c r="C37" s="98">
        <v>6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0"/>
      <c r="CS37" s="91"/>
      <c r="CT37" s="89"/>
      <c r="CU37" s="92"/>
      <c r="CV37" s="88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0"/>
      <c r="GH37" s="91"/>
      <c r="GI37" s="89"/>
      <c r="GJ37" s="90"/>
      <c r="GK37" s="91"/>
      <c r="GL37" s="89"/>
      <c r="GM37" s="92"/>
      <c r="GN37" s="88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109"/>
      <c r="IK37" s="107"/>
      <c r="IL37" s="108"/>
      <c r="IM37" s="109"/>
      <c r="IN37" s="107"/>
      <c r="IO37" s="108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89"/>
      <c r="JP37" s="90"/>
      <c r="JQ37" s="91"/>
      <c r="JR37" s="89"/>
      <c r="JS37" s="90"/>
      <c r="JT37" s="91"/>
      <c r="JU37" s="89"/>
      <c r="JV37" s="90"/>
      <c r="JW37" s="91"/>
      <c r="JX37" s="89"/>
      <c r="JY37" s="90"/>
      <c r="JZ37" s="91"/>
      <c r="KA37" s="89"/>
      <c r="KB37" s="90"/>
      <c r="KC37" s="91"/>
      <c r="KD37" s="89"/>
      <c r="KE37" s="92"/>
      <c r="KF37" s="88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0"/>
      <c r="NL37" s="91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2"/>
    </row>
    <row r="38" spans="2:387" ht="19.5" customHeight="1" thickBot="1" x14ac:dyDescent="0.3">
      <c r="B38" s="121"/>
      <c r="C38" s="99">
        <v>5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5"/>
      <c r="CS38" s="96"/>
      <c r="CT38" s="94"/>
      <c r="CU38" s="97"/>
      <c r="CV38" s="93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5"/>
      <c r="GH38" s="96"/>
      <c r="GI38" s="94"/>
      <c r="GJ38" s="95"/>
      <c r="GK38" s="96"/>
      <c r="GL38" s="94"/>
      <c r="GM38" s="97"/>
      <c r="GN38" s="93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96"/>
      <c r="HM38" s="94"/>
      <c r="HN38" s="95"/>
      <c r="HO38" s="96"/>
      <c r="HP38" s="94"/>
      <c r="HQ38" s="95"/>
      <c r="HR38" s="96"/>
      <c r="HS38" s="94"/>
      <c r="HT38" s="95"/>
      <c r="HU38" s="96"/>
      <c r="HV38" s="94"/>
      <c r="HW38" s="130"/>
      <c r="HX38" s="131"/>
      <c r="HY38" s="129"/>
      <c r="HZ38" s="130"/>
      <c r="IA38" s="131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96"/>
      <c r="IN38" s="94"/>
      <c r="IO38" s="95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5"/>
      <c r="JW38" s="96"/>
      <c r="JX38" s="94"/>
      <c r="JY38" s="95"/>
      <c r="JZ38" s="96"/>
      <c r="KA38" s="94"/>
      <c r="KB38" s="95"/>
      <c r="KC38" s="96"/>
      <c r="KD38" s="94"/>
      <c r="KE38" s="97"/>
      <c r="KF38" s="93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5"/>
      <c r="NL38" s="96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7"/>
    </row>
    <row r="39" spans="2:387" ht="19.5" customHeight="1" x14ac:dyDescent="0.25">
      <c r="B39" s="120" t="str">
        <f>Donnees!$C$38</f>
        <v>Configuration du switch Lausanne</v>
      </c>
      <c r="C39" s="98">
        <v>3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91"/>
      <c r="BM39" s="8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0"/>
      <c r="CS39" s="91"/>
      <c r="CT39" s="89"/>
      <c r="CU39" s="92"/>
      <c r="CV39" s="88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89"/>
      <c r="ET39" s="90"/>
      <c r="EU39" s="9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0"/>
      <c r="GH39" s="91"/>
      <c r="GI39" s="89"/>
      <c r="GJ39" s="90"/>
      <c r="GK39" s="91"/>
      <c r="GL39" s="89"/>
      <c r="GM39" s="92"/>
      <c r="GN39" s="88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109"/>
      <c r="IQ39" s="107"/>
      <c r="IR39" s="108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89"/>
      <c r="JM39" s="90"/>
      <c r="JN39" s="91"/>
      <c r="JO39" s="89"/>
      <c r="JP39" s="90"/>
      <c r="JQ39" s="91"/>
      <c r="JR39" s="89"/>
      <c r="JS39" s="90"/>
      <c r="JT39" s="91"/>
      <c r="JU39" s="89"/>
      <c r="JV39" s="90"/>
      <c r="JW39" s="91"/>
      <c r="JX39" s="89"/>
      <c r="JY39" s="90"/>
      <c r="JZ39" s="91"/>
      <c r="KA39" s="89"/>
      <c r="KB39" s="90"/>
      <c r="KC39" s="91"/>
      <c r="KD39" s="89"/>
      <c r="KE39" s="92"/>
      <c r="KF39" s="88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9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0"/>
      <c r="NL39" s="91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2"/>
    </row>
    <row r="40" spans="2:387" ht="19.5" customHeight="1" thickBot="1" x14ac:dyDescent="0.3">
      <c r="B40" s="121"/>
      <c r="C40" s="99">
        <v>3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95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5"/>
      <c r="CS40" s="96"/>
      <c r="CT40" s="94"/>
      <c r="CU40" s="97"/>
      <c r="CV40" s="93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94"/>
      <c r="DV40" s="95"/>
      <c r="DW40" s="96"/>
      <c r="DX40" s="94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94"/>
      <c r="FX40" s="95"/>
      <c r="FY40" s="96"/>
      <c r="FZ40" s="94"/>
      <c r="GA40" s="95"/>
      <c r="GB40" s="96"/>
      <c r="GC40" s="94"/>
      <c r="GD40" s="95"/>
      <c r="GE40" s="96"/>
      <c r="GF40" s="94"/>
      <c r="GG40" s="95"/>
      <c r="GH40" s="96"/>
      <c r="GI40" s="94"/>
      <c r="GJ40" s="95"/>
      <c r="GK40" s="96"/>
      <c r="GL40" s="94"/>
      <c r="GM40" s="97"/>
      <c r="GN40" s="93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96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129"/>
      <c r="IC40" s="130"/>
      <c r="ID40" s="131"/>
      <c r="IE40" s="94"/>
      <c r="IF40" s="95"/>
      <c r="IG40" s="96"/>
      <c r="IH40" s="94"/>
      <c r="II40" s="95"/>
      <c r="IJ40" s="96"/>
      <c r="IK40" s="94"/>
      <c r="IL40" s="95"/>
      <c r="IM40" s="96"/>
      <c r="IN40" s="94"/>
      <c r="IO40" s="95"/>
      <c r="IP40" s="96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95"/>
      <c r="JW40" s="96"/>
      <c r="JX40" s="94"/>
      <c r="JY40" s="95"/>
      <c r="JZ40" s="96"/>
      <c r="KA40" s="94"/>
      <c r="KB40" s="95"/>
      <c r="KC40" s="96"/>
      <c r="KD40" s="94"/>
      <c r="KE40" s="97"/>
      <c r="KF40" s="93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5"/>
      <c r="NL40" s="96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7"/>
    </row>
    <row r="41" spans="2:387" ht="19.5" customHeight="1" x14ac:dyDescent="0.25">
      <c r="B41" s="120" t="str">
        <f>Donnees!$C$39</f>
        <v>Configuration de l'imprimante Lausanne</v>
      </c>
      <c r="C41" s="98">
        <v>6</v>
      </c>
      <c r="D41" s="88"/>
      <c r="E41" s="89"/>
      <c r="F41" s="90"/>
      <c r="G41" s="91"/>
      <c r="H41" s="89"/>
      <c r="I41" s="90"/>
      <c r="J41" s="91"/>
      <c r="K41" s="89"/>
      <c r="L41" s="90"/>
      <c r="M41" s="91"/>
      <c r="N41" s="89"/>
      <c r="O41" s="90"/>
      <c r="P41" s="91"/>
      <c r="Q41" s="89"/>
      <c r="R41" s="90"/>
      <c r="S41" s="91"/>
      <c r="T41" s="89"/>
      <c r="U41" s="90"/>
      <c r="V41" s="91"/>
      <c r="W41" s="89"/>
      <c r="X41" s="90"/>
      <c r="Y41" s="91"/>
      <c r="Z41" s="89"/>
      <c r="AA41" s="90"/>
      <c r="AB41" s="91"/>
      <c r="AC41" s="89"/>
      <c r="AD41" s="90"/>
      <c r="AE41" s="91"/>
      <c r="AF41" s="89"/>
      <c r="AG41" s="90"/>
      <c r="AH41" s="91"/>
      <c r="AI41" s="89"/>
      <c r="AJ41" s="90"/>
      <c r="AK41" s="91"/>
      <c r="AL41" s="89"/>
      <c r="AM41" s="90"/>
      <c r="AN41" s="91"/>
      <c r="AO41" s="89"/>
      <c r="AP41" s="90"/>
      <c r="AQ41" s="91"/>
      <c r="AR41" s="89"/>
      <c r="AS41" s="90"/>
      <c r="AT41" s="91"/>
      <c r="AU41" s="89"/>
      <c r="AV41" s="90"/>
      <c r="AW41" s="91"/>
      <c r="AX41" s="89"/>
      <c r="AY41" s="90"/>
      <c r="AZ41" s="91"/>
      <c r="BA41" s="89"/>
      <c r="BB41" s="90"/>
      <c r="BC41" s="91"/>
      <c r="BD41" s="89"/>
      <c r="BE41" s="90"/>
      <c r="BF41" s="91"/>
      <c r="BG41" s="89"/>
      <c r="BH41" s="90"/>
      <c r="BI41" s="91"/>
      <c r="BJ41" s="89"/>
      <c r="BK41" s="90"/>
      <c r="BL41" s="91"/>
      <c r="BM41" s="89"/>
      <c r="BN41" s="90"/>
      <c r="BO41" s="91"/>
      <c r="BP41" s="89"/>
      <c r="BQ41" s="90"/>
      <c r="BR41" s="91"/>
      <c r="BS41" s="89"/>
      <c r="BT41" s="90"/>
      <c r="BU41" s="91"/>
      <c r="BV41" s="89"/>
      <c r="BW41" s="90"/>
      <c r="BX41" s="91"/>
      <c r="BY41" s="89"/>
      <c r="BZ41" s="90"/>
      <c r="CA41" s="91"/>
      <c r="CB41" s="89"/>
      <c r="CC41" s="90"/>
      <c r="CD41" s="91"/>
      <c r="CE41" s="89"/>
      <c r="CF41" s="90"/>
      <c r="CG41" s="91"/>
      <c r="CH41" s="89"/>
      <c r="CI41" s="90"/>
      <c r="CJ41" s="91"/>
      <c r="CK41" s="89"/>
      <c r="CL41" s="90"/>
      <c r="CM41" s="91"/>
      <c r="CN41" s="89"/>
      <c r="CO41" s="90"/>
      <c r="CP41" s="91"/>
      <c r="CQ41" s="89"/>
      <c r="CR41" s="90"/>
      <c r="CS41" s="91"/>
      <c r="CT41" s="89"/>
      <c r="CU41" s="92"/>
      <c r="CV41" s="88"/>
      <c r="CW41" s="89"/>
      <c r="CX41" s="90"/>
      <c r="CY41" s="91"/>
      <c r="CZ41" s="89"/>
      <c r="DA41" s="90"/>
      <c r="DB41" s="91"/>
      <c r="DC41" s="89"/>
      <c r="DD41" s="90"/>
      <c r="DE41" s="91"/>
      <c r="DF41" s="89"/>
      <c r="DG41" s="90"/>
      <c r="DH41" s="91"/>
      <c r="DI41" s="89"/>
      <c r="DJ41" s="90"/>
      <c r="DK41" s="91"/>
      <c r="DL41" s="89"/>
      <c r="DM41" s="90"/>
      <c r="DN41" s="91"/>
      <c r="DO41" s="89"/>
      <c r="DP41" s="90"/>
      <c r="DQ41" s="91"/>
      <c r="DR41" s="89"/>
      <c r="DS41" s="90"/>
      <c r="DT41" s="91"/>
      <c r="DU41" s="89"/>
      <c r="DV41" s="90"/>
      <c r="DW41" s="91"/>
      <c r="DX41" s="89"/>
      <c r="DY41" s="90"/>
      <c r="DZ41" s="91"/>
      <c r="EA41" s="89"/>
      <c r="EB41" s="90"/>
      <c r="EC41" s="91"/>
      <c r="ED41" s="89"/>
      <c r="EE41" s="90"/>
      <c r="EF41" s="91"/>
      <c r="EG41" s="89"/>
      <c r="EH41" s="90"/>
      <c r="EI41" s="91"/>
      <c r="EJ41" s="89"/>
      <c r="EK41" s="90"/>
      <c r="EL41" s="91"/>
      <c r="EM41" s="89"/>
      <c r="EN41" s="90"/>
      <c r="EO41" s="91"/>
      <c r="EP41" s="89"/>
      <c r="EQ41" s="90"/>
      <c r="ER41" s="91"/>
      <c r="ES41" s="89"/>
      <c r="ET41" s="90"/>
      <c r="EU41" s="91"/>
      <c r="EV41" s="89"/>
      <c r="EW41" s="90"/>
      <c r="EX41" s="91"/>
      <c r="EY41" s="89"/>
      <c r="EZ41" s="90"/>
      <c r="FA41" s="91"/>
      <c r="FB41" s="89"/>
      <c r="FC41" s="90"/>
      <c r="FD41" s="91"/>
      <c r="FE41" s="89"/>
      <c r="FF41" s="90"/>
      <c r="FG41" s="91"/>
      <c r="FH41" s="89"/>
      <c r="FI41" s="90"/>
      <c r="FJ41" s="91"/>
      <c r="FK41" s="89"/>
      <c r="FL41" s="90"/>
      <c r="FM41" s="91"/>
      <c r="FN41" s="89"/>
      <c r="FO41" s="90"/>
      <c r="FP41" s="91"/>
      <c r="FQ41" s="89"/>
      <c r="FR41" s="90"/>
      <c r="FS41" s="91"/>
      <c r="FT41" s="89"/>
      <c r="FU41" s="90"/>
      <c r="FV41" s="91"/>
      <c r="FW41" s="89"/>
      <c r="FX41" s="90"/>
      <c r="FY41" s="91"/>
      <c r="FZ41" s="89"/>
      <c r="GA41" s="90"/>
      <c r="GB41" s="91"/>
      <c r="GC41" s="89"/>
      <c r="GD41" s="90"/>
      <c r="GE41" s="91"/>
      <c r="GF41" s="89"/>
      <c r="GG41" s="90"/>
      <c r="GH41" s="91"/>
      <c r="GI41" s="89"/>
      <c r="GJ41" s="90"/>
      <c r="GK41" s="91"/>
      <c r="GL41" s="89"/>
      <c r="GM41" s="92"/>
      <c r="GN41" s="88"/>
      <c r="GO41" s="89"/>
      <c r="GP41" s="90"/>
      <c r="GQ41" s="91"/>
      <c r="GR41" s="89"/>
      <c r="GS41" s="90"/>
      <c r="GT41" s="91"/>
      <c r="GU41" s="89"/>
      <c r="GV41" s="90"/>
      <c r="GW41" s="91"/>
      <c r="GX41" s="89"/>
      <c r="GY41" s="90"/>
      <c r="GZ41" s="91"/>
      <c r="HA41" s="89"/>
      <c r="HB41" s="90"/>
      <c r="HC41" s="91"/>
      <c r="HD41" s="89"/>
      <c r="HE41" s="90"/>
      <c r="HF41" s="91"/>
      <c r="HG41" s="89"/>
      <c r="HH41" s="90"/>
      <c r="HI41" s="91"/>
      <c r="HJ41" s="89"/>
      <c r="HK41" s="90"/>
      <c r="HL41" s="91"/>
      <c r="HM41" s="89"/>
      <c r="HN41" s="90"/>
      <c r="HO41" s="91"/>
      <c r="HP41" s="89"/>
      <c r="HQ41" s="90"/>
      <c r="HR41" s="91"/>
      <c r="HS41" s="89"/>
      <c r="HT41" s="90"/>
      <c r="HU41" s="91"/>
      <c r="HV41" s="89"/>
      <c r="HW41" s="90"/>
      <c r="HX41" s="91"/>
      <c r="HY41" s="89"/>
      <c r="HZ41" s="90"/>
      <c r="IA41" s="91"/>
      <c r="IB41" s="89"/>
      <c r="IC41" s="90"/>
      <c r="ID41" s="91"/>
      <c r="IE41" s="89"/>
      <c r="IF41" s="90"/>
      <c r="IG41" s="91"/>
      <c r="IH41" s="89"/>
      <c r="II41" s="90"/>
      <c r="IJ41" s="91"/>
      <c r="IK41" s="89"/>
      <c r="IL41" s="90"/>
      <c r="IM41" s="91"/>
      <c r="IN41" s="89"/>
      <c r="IO41" s="90"/>
      <c r="IP41" s="91"/>
      <c r="IQ41" s="89"/>
      <c r="IR41" s="90"/>
      <c r="IS41" s="109"/>
      <c r="IT41" s="107"/>
      <c r="IU41" s="108"/>
      <c r="IV41" s="109"/>
      <c r="IW41" s="107"/>
      <c r="IX41" s="108"/>
      <c r="IY41" s="91"/>
      <c r="IZ41" s="89"/>
      <c r="JA41" s="90"/>
      <c r="JB41" s="91"/>
      <c r="JC41" s="89"/>
      <c r="JD41" s="90"/>
      <c r="JE41" s="91"/>
      <c r="JF41" s="89"/>
      <c r="JG41" s="90"/>
      <c r="JH41" s="91"/>
      <c r="JI41" s="89"/>
      <c r="JJ41" s="90"/>
      <c r="JK41" s="91"/>
      <c r="JL41" s="89"/>
      <c r="JM41" s="90"/>
      <c r="JN41" s="91"/>
      <c r="JO41" s="89"/>
      <c r="JP41" s="90"/>
      <c r="JQ41" s="91"/>
      <c r="JR41" s="89"/>
      <c r="JS41" s="90"/>
      <c r="JT41" s="91"/>
      <c r="JU41" s="89"/>
      <c r="JV41" s="90"/>
      <c r="JW41" s="91"/>
      <c r="JX41" s="89"/>
      <c r="JY41" s="90"/>
      <c r="JZ41" s="91"/>
      <c r="KA41" s="89"/>
      <c r="KB41" s="90"/>
      <c r="KC41" s="91"/>
      <c r="KD41" s="89"/>
      <c r="KE41" s="92"/>
      <c r="KF41" s="88"/>
      <c r="KG41" s="89"/>
      <c r="KH41" s="90"/>
      <c r="KI41" s="91"/>
      <c r="KJ41" s="89"/>
      <c r="KK41" s="90"/>
      <c r="KL41" s="91"/>
      <c r="KM41" s="89"/>
      <c r="KN41" s="90"/>
      <c r="KO41" s="91"/>
      <c r="KP41" s="89"/>
      <c r="KQ41" s="90"/>
      <c r="KR41" s="91"/>
      <c r="KS41" s="89"/>
      <c r="KT41" s="90"/>
      <c r="KU41" s="91"/>
      <c r="KV41" s="89"/>
      <c r="KW41" s="90"/>
      <c r="KX41" s="91"/>
      <c r="KY41" s="89"/>
      <c r="KZ41" s="90"/>
      <c r="LA41" s="91"/>
      <c r="LB41" s="89"/>
      <c r="LC41" s="90"/>
      <c r="LD41" s="91"/>
      <c r="LE41" s="89"/>
      <c r="LF41" s="90"/>
      <c r="LG41" s="91"/>
      <c r="LH41" s="89"/>
      <c r="LI41" s="90"/>
      <c r="LJ41" s="91"/>
      <c r="LK41" s="89"/>
      <c r="LL41" s="90"/>
      <c r="LM41" s="91"/>
      <c r="LN41" s="89"/>
      <c r="LO41" s="90"/>
      <c r="LP41" s="91"/>
      <c r="LQ41" s="89"/>
      <c r="LR41" s="90"/>
      <c r="LS41" s="91"/>
      <c r="LT41" s="89"/>
      <c r="LU41" s="90"/>
      <c r="LV41" s="91"/>
      <c r="LW41" s="89"/>
      <c r="LX41" s="90"/>
      <c r="LY41" s="91"/>
      <c r="LZ41" s="89"/>
      <c r="MA41" s="90"/>
      <c r="MB41" s="91"/>
      <c r="MC41" s="89"/>
      <c r="MD41" s="90"/>
      <c r="ME41" s="91"/>
      <c r="MF41" s="89"/>
      <c r="MG41" s="90"/>
      <c r="MH41" s="91"/>
      <c r="MI41" s="89"/>
      <c r="MJ41" s="90"/>
      <c r="MK41" s="91"/>
      <c r="ML41" s="89"/>
      <c r="MM41" s="90"/>
      <c r="MN41" s="91"/>
      <c r="MO41" s="89"/>
      <c r="MP41" s="90"/>
      <c r="MQ41" s="91"/>
      <c r="MR41" s="89"/>
      <c r="MS41" s="90"/>
      <c r="MT41" s="91"/>
      <c r="MU41" s="89"/>
      <c r="MV41" s="90"/>
      <c r="MW41" s="91"/>
      <c r="MX41" s="89"/>
      <c r="MY41" s="90"/>
      <c r="MZ41" s="91"/>
      <c r="NA41" s="89"/>
      <c r="NB41" s="90"/>
      <c r="NC41" s="91"/>
      <c r="ND41" s="89"/>
      <c r="NE41" s="90"/>
      <c r="NF41" s="91"/>
      <c r="NG41" s="89"/>
      <c r="NH41" s="90"/>
      <c r="NI41" s="91"/>
      <c r="NJ41" s="89"/>
      <c r="NK41" s="90"/>
      <c r="NL41" s="91"/>
      <c r="NM41" s="89"/>
      <c r="NN41" s="90"/>
      <c r="NO41" s="91"/>
      <c r="NP41" s="89"/>
      <c r="NQ41" s="90"/>
      <c r="NR41" s="91"/>
      <c r="NS41" s="89"/>
      <c r="NT41" s="90"/>
      <c r="NU41" s="91"/>
      <c r="NV41" s="89"/>
      <c r="NW41" s="92"/>
    </row>
    <row r="42" spans="2:387" ht="19.5" customHeight="1" thickBot="1" x14ac:dyDescent="0.3">
      <c r="B42" s="121"/>
      <c r="C42" s="99">
        <v>1</v>
      </c>
      <c r="D42" s="93"/>
      <c r="E42" s="94"/>
      <c r="F42" s="95"/>
      <c r="G42" s="96"/>
      <c r="H42" s="94"/>
      <c r="I42" s="95"/>
      <c r="J42" s="96"/>
      <c r="K42" s="94"/>
      <c r="L42" s="95"/>
      <c r="M42" s="96"/>
      <c r="N42" s="94"/>
      <c r="O42" s="95"/>
      <c r="P42" s="96"/>
      <c r="Q42" s="94"/>
      <c r="R42" s="95"/>
      <c r="S42" s="96"/>
      <c r="T42" s="94"/>
      <c r="U42" s="95"/>
      <c r="V42" s="96"/>
      <c r="W42" s="94"/>
      <c r="X42" s="95"/>
      <c r="Y42" s="96"/>
      <c r="Z42" s="94"/>
      <c r="AA42" s="95"/>
      <c r="AB42" s="96"/>
      <c r="AC42" s="94"/>
      <c r="AD42" s="95"/>
      <c r="AE42" s="96"/>
      <c r="AF42" s="94"/>
      <c r="AG42" s="95"/>
      <c r="AH42" s="96"/>
      <c r="AI42" s="94"/>
      <c r="AJ42" s="95"/>
      <c r="AK42" s="96"/>
      <c r="AL42" s="94"/>
      <c r="AM42" s="95"/>
      <c r="AN42" s="96"/>
      <c r="AO42" s="94"/>
      <c r="AP42" s="95"/>
      <c r="AQ42" s="96"/>
      <c r="AR42" s="94"/>
      <c r="AS42" s="95"/>
      <c r="AT42" s="96"/>
      <c r="AU42" s="94"/>
      <c r="AV42" s="95"/>
      <c r="AW42" s="96"/>
      <c r="AX42" s="94"/>
      <c r="AY42" s="95"/>
      <c r="AZ42" s="96"/>
      <c r="BA42" s="94"/>
      <c r="BB42" s="95"/>
      <c r="BC42" s="96"/>
      <c r="BD42" s="94"/>
      <c r="BE42" s="95"/>
      <c r="BF42" s="96"/>
      <c r="BG42" s="94"/>
      <c r="BH42" s="95"/>
      <c r="BI42" s="96"/>
      <c r="BJ42" s="94"/>
      <c r="BK42" s="95"/>
      <c r="BL42" s="96"/>
      <c r="BM42" s="94"/>
      <c r="BN42" s="95"/>
      <c r="BO42" s="96"/>
      <c r="BP42" s="94"/>
      <c r="BQ42" s="95"/>
      <c r="BR42" s="96"/>
      <c r="BS42" s="94"/>
      <c r="BT42" s="95"/>
      <c r="BU42" s="96"/>
      <c r="BV42" s="94"/>
      <c r="BW42" s="95"/>
      <c r="BX42" s="96"/>
      <c r="BY42" s="94"/>
      <c r="BZ42" s="95"/>
      <c r="CA42" s="96"/>
      <c r="CB42" s="94"/>
      <c r="CC42" s="95"/>
      <c r="CD42" s="96"/>
      <c r="CE42" s="94"/>
      <c r="CF42" s="95"/>
      <c r="CG42" s="96"/>
      <c r="CH42" s="94"/>
      <c r="CI42" s="95"/>
      <c r="CJ42" s="96"/>
      <c r="CK42" s="94"/>
      <c r="CL42" s="95"/>
      <c r="CM42" s="96"/>
      <c r="CN42" s="94"/>
      <c r="CO42" s="95"/>
      <c r="CP42" s="96"/>
      <c r="CQ42" s="94"/>
      <c r="CR42" s="95"/>
      <c r="CS42" s="96"/>
      <c r="CT42" s="94"/>
      <c r="CU42" s="97"/>
      <c r="CV42" s="93"/>
      <c r="CW42" s="94"/>
      <c r="CX42" s="95"/>
      <c r="CY42" s="96"/>
      <c r="CZ42" s="94"/>
      <c r="DA42" s="95"/>
      <c r="DB42" s="96"/>
      <c r="DC42" s="94"/>
      <c r="DD42" s="95"/>
      <c r="DE42" s="96"/>
      <c r="DF42" s="94"/>
      <c r="DG42" s="95"/>
      <c r="DH42" s="96"/>
      <c r="DI42" s="94"/>
      <c r="DJ42" s="95"/>
      <c r="DK42" s="96"/>
      <c r="DL42" s="94"/>
      <c r="DM42" s="95"/>
      <c r="DN42" s="96"/>
      <c r="DO42" s="94"/>
      <c r="DP42" s="95"/>
      <c r="DQ42" s="96"/>
      <c r="DR42" s="94"/>
      <c r="DS42" s="95"/>
      <c r="DT42" s="96"/>
      <c r="DU42" s="94"/>
      <c r="DV42" s="95"/>
      <c r="DW42" s="96"/>
      <c r="DX42" s="94"/>
      <c r="DY42" s="95"/>
      <c r="DZ42" s="96"/>
      <c r="EA42" s="94"/>
      <c r="EB42" s="95"/>
      <c r="EC42" s="96"/>
      <c r="ED42" s="94"/>
      <c r="EE42" s="95"/>
      <c r="EF42" s="96"/>
      <c r="EG42" s="94"/>
      <c r="EH42" s="95"/>
      <c r="EI42" s="96"/>
      <c r="EJ42" s="94"/>
      <c r="EK42" s="95"/>
      <c r="EL42" s="96"/>
      <c r="EM42" s="94"/>
      <c r="EN42" s="95"/>
      <c r="EO42" s="96"/>
      <c r="EP42" s="94"/>
      <c r="EQ42" s="95"/>
      <c r="ER42" s="96"/>
      <c r="ES42" s="94"/>
      <c r="ET42" s="95"/>
      <c r="EU42" s="96"/>
      <c r="EV42" s="94"/>
      <c r="EW42" s="95"/>
      <c r="EX42" s="96"/>
      <c r="EY42" s="94"/>
      <c r="EZ42" s="95"/>
      <c r="FA42" s="96"/>
      <c r="FB42" s="94"/>
      <c r="FC42" s="95"/>
      <c r="FD42" s="96"/>
      <c r="FE42" s="94"/>
      <c r="FF42" s="95"/>
      <c r="FG42" s="96"/>
      <c r="FH42" s="94"/>
      <c r="FI42" s="95"/>
      <c r="FJ42" s="96"/>
      <c r="FK42" s="94"/>
      <c r="FL42" s="95"/>
      <c r="FM42" s="96"/>
      <c r="FN42" s="94"/>
      <c r="FO42" s="95"/>
      <c r="FP42" s="96"/>
      <c r="FQ42" s="94"/>
      <c r="FR42" s="95"/>
      <c r="FS42" s="96"/>
      <c r="FT42" s="94"/>
      <c r="FU42" s="95"/>
      <c r="FV42" s="96"/>
      <c r="FW42" s="94"/>
      <c r="FX42" s="95"/>
      <c r="FY42" s="96"/>
      <c r="FZ42" s="94"/>
      <c r="GA42" s="95"/>
      <c r="GB42" s="96"/>
      <c r="GC42" s="94"/>
      <c r="GD42" s="95"/>
      <c r="GE42" s="96"/>
      <c r="GF42" s="94"/>
      <c r="GG42" s="95"/>
      <c r="GH42" s="96"/>
      <c r="GI42" s="94"/>
      <c r="GJ42" s="95"/>
      <c r="GK42" s="96"/>
      <c r="GL42" s="94"/>
      <c r="GM42" s="97"/>
      <c r="GN42" s="93"/>
      <c r="GO42" s="94"/>
      <c r="GP42" s="95"/>
      <c r="GQ42" s="96"/>
      <c r="GR42" s="94"/>
      <c r="GS42" s="95"/>
      <c r="GT42" s="96"/>
      <c r="GU42" s="94"/>
      <c r="GV42" s="95"/>
      <c r="GW42" s="96"/>
      <c r="GX42" s="94"/>
      <c r="GY42" s="95"/>
      <c r="GZ42" s="96"/>
      <c r="HA42" s="94"/>
      <c r="HB42" s="95"/>
      <c r="HC42" s="96"/>
      <c r="HD42" s="94"/>
      <c r="HE42" s="95"/>
      <c r="HF42" s="96"/>
      <c r="HG42" s="94"/>
      <c r="HH42" s="95"/>
      <c r="HI42" s="96"/>
      <c r="HJ42" s="94"/>
      <c r="HK42" s="95"/>
      <c r="HL42" s="96"/>
      <c r="HM42" s="94"/>
      <c r="HN42" s="95"/>
      <c r="HO42" s="96"/>
      <c r="HP42" s="94"/>
      <c r="HQ42" s="95"/>
      <c r="HR42" s="96"/>
      <c r="HS42" s="94"/>
      <c r="HT42" s="95"/>
      <c r="HU42" s="96"/>
      <c r="HV42" s="94"/>
      <c r="HW42" s="95"/>
      <c r="HX42" s="96"/>
      <c r="HY42" s="94"/>
      <c r="HZ42" s="95"/>
      <c r="IA42" s="96"/>
      <c r="IB42" s="94"/>
      <c r="IC42" s="95"/>
      <c r="ID42" s="96"/>
      <c r="IE42" s="129"/>
      <c r="IF42" s="95"/>
      <c r="IG42" s="96"/>
      <c r="IH42" s="94"/>
      <c r="II42" s="95"/>
      <c r="IJ42" s="96"/>
      <c r="IK42" s="94"/>
      <c r="IL42" s="95"/>
      <c r="IM42" s="96"/>
      <c r="IN42" s="94"/>
      <c r="IO42" s="95"/>
      <c r="IP42" s="96"/>
      <c r="IQ42" s="94"/>
      <c r="IR42" s="95"/>
      <c r="IS42" s="96"/>
      <c r="IT42" s="94"/>
      <c r="IU42" s="95"/>
      <c r="IV42" s="96"/>
      <c r="IW42" s="94"/>
      <c r="IX42" s="95"/>
      <c r="IY42" s="96"/>
      <c r="IZ42" s="94"/>
      <c r="JA42" s="95"/>
      <c r="JB42" s="96"/>
      <c r="JC42" s="94"/>
      <c r="JD42" s="95"/>
      <c r="JE42" s="96"/>
      <c r="JF42" s="94"/>
      <c r="JG42" s="95"/>
      <c r="JH42" s="96"/>
      <c r="JI42" s="94"/>
      <c r="JJ42" s="95"/>
      <c r="JK42" s="96"/>
      <c r="JL42" s="94"/>
      <c r="JM42" s="95"/>
      <c r="JN42" s="96"/>
      <c r="JO42" s="94"/>
      <c r="JP42" s="95"/>
      <c r="JQ42" s="96"/>
      <c r="JR42" s="94"/>
      <c r="JS42" s="95"/>
      <c r="JT42" s="96"/>
      <c r="JU42" s="94"/>
      <c r="JV42" s="95"/>
      <c r="JW42" s="96"/>
      <c r="JX42" s="94"/>
      <c r="JY42" s="95"/>
      <c r="JZ42" s="96"/>
      <c r="KA42" s="94"/>
      <c r="KB42" s="95"/>
      <c r="KC42" s="96"/>
      <c r="KD42" s="94"/>
      <c r="KE42" s="97"/>
      <c r="KF42" s="93"/>
      <c r="KG42" s="94"/>
      <c r="KH42" s="95"/>
      <c r="KI42" s="96"/>
      <c r="KJ42" s="94"/>
      <c r="KK42" s="95"/>
      <c r="KL42" s="96"/>
      <c r="KM42" s="94"/>
      <c r="KN42" s="95"/>
      <c r="KO42" s="96"/>
      <c r="KP42" s="94"/>
      <c r="KQ42" s="95"/>
      <c r="KR42" s="96"/>
      <c r="KS42" s="94"/>
      <c r="KT42" s="95"/>
      <c r="KU42" s="96"/>
      <c r="KV42" s="94"/>
      <c r="KW42" s="95"/>
      <c r="KX42" s="96"/>
      <c r="KY42" s="94"/>
      <c r="KZ42" s="95"/>
      <c r="LA42" s="96"/>
      <c r="LB42" s="94"/>
      <c r="LC42" s="95"/>
      <c r="LD42" s="96"/>
      <c r="LE42" s="94"/>
      <c r="LF42" s="95"/>
      <c r="LG42" s="96"/>
      <c r="LH42" s="94"/>
      <c r="LI42" s="95"/>
      <c r="LJ42" s="96"/>
      <c r="LK42" s="94"/>
      <c r="LL42" s="95"/>
      <c r="LM42" s="96"/>
      <c r="LN42" s="94"/>
      <c r="LO42" s="95"/>
      <c r="LP42" s="96"/>
      <c r="LQ42" s="94"/>
      <c r="LR42" s="95"/>
      <c r="LS42" s="96"/>
      <c r="LT42" s="94"/>
      <c r="LU42" s="95"/>
      <c r="LV42" s="96"/>
      <c r="LW42" s="94"/>
      <c r="LX42" s="95"/>
      <c r="LY42" s="96"/>
      <c r="LZ42" s="94"/>
      <c r="MA42" s="95"/>
      <c r="MB42" s="96"/>
      <c r="MC42" s="94"/>
      <c r="MD42" s="95"/>
      <c r="ME42" s="96"/>
      <c r="MF42" s="94"/>
      <c r="MG42" s="95"/>
      <c r="MH42" s="96"/>
      <c r="MI42" s="94"/>
      <c r="MJ42" s="95"/>
      <c r="MK42" s="96"/>
      <c r="ML42" s="94"/>
      <c r="MM42" s="95"/>
      <c r="MN42" s="96"/>
      <c r="MO42" s="94"/>
      <c r="MP42" s="95"/>
      <c r="MQ42" s="96"/>
      <c r="MR42" s="94"/>
      <c r="MS42" s="95"/>
      <c r="MT42" s="96"/>
      <c r="MU42" s="94"/>
      <c r="MV42" s="95"/>
      <c r="MW42" s="96"/>
      <c r="MX42" s="94"/>
      <c r="MY42" s="95"/>
      <c r="MZ42" s="96"/>
      <c r="NA42" s="94"/>
      <c r="NB42" s="95"/>
      <c r="NC42" s="96"/>
      <c r="ND42" s="94"/>
      <c r="NE42" s="95"/>
      <c r="NF42" s="96"/>
      <c r="NG42" s="94"/>
      <c r="NH42" s="95"/>
      <c r="NI42" s="96"/>
      <c r="NJ42" s="94"/>
      <c r="NK42" s="95"/>
      <c r="NL42" s="96"/>
      <c r="NM42" s="94"/>
      <c r="NN42" s="95"/>
      <c r="NO42" s="96"/>
      <c r="NP42" s="94"/>
      <c r="NQ42" s="95"/>
      <c r="NR42" s="96"/>
      <c r="NS42" s="94"/>
      <c r="NT42" s="95"/>
      <c r="NU42" s="96"/>
      <c r="NV42" s="94"/>
      <c r="NW42" s="97"/>
    </row>
    <row r="43" spans="2:387" ht="19.5" customHeight="1" x14ac:dyDescent="0.25">
      <c r="B43" s="120" t="str">
        <f>Donnees!$C$40</f>
        <v>Configuration de l'access point Lausanne</v>
      </c>
      <c r="C43" s="98">
        <v>9</v>
      </c>
      <c r="D43" s="88"/>
      <c r="E43" s="89"/>
      <c r="F43" s="90"/>
      <c r="G43" s="91"/>
      <c r="H43" s="89"/>
      <c r="I43" s="90"/>
      <c r="J43" s="91"/>
      <c r="K43" s="89"/>
      <c r="L43" s="90"/>
      <c r="M43" s="91"/>
      <c r="N43" s="89"/>
      <c r="O43" s="90"/>
      <c r="P43" s="91"/>
      <c r="Q43" s="89"/>
      <c r="R43" s="90"/>
      <c r="S43" s="91"/>
      <c r="T43" s="89"/>
      <c r="U43" s="90"/>
      <c r="V43" s="91"/>
      <c r="W43" s="89"/>
      <c r="X43" s="90"/>
      <c r="Y43" s="91"/>
      <c r="Z43" s="89"/>
      <c r="AA43" s="90"/>
      <c r="AB43" s="91"/>
      <c r="AC43" s="89"/>
      <c r="AD43" s="90"/>
      <c r="AE43" s="91"/>
      <c r="AF43" s="89"/>
      <c r="AG43" s="90"/>
      <c r="AH43" s="91"/>
      <c r="AI43" s="89"/>
      <c r="AJ43" s="90"/>
      <c r="AK43" s="91"/>
      <c r="AL43" s="89"/>
      <c r="AM43" s="90"/>
      <c r="AN43" s="91"/>
      <c r="AO43" s="89"/>
      <c r="AP43" s="90"/>
      <c r="AQ43" s="91"/>
      <c r="AR43" s="89"/>
      <c r="AS43" s="90"/>
      <c r="AT43" s="91"/>
      <c r="AU43" s="89"/>
      <c r="AV43" s="90"/>
      <c r="AW43" s="91"/>
      <c r="AX43" s="89"/>
      <c r="AY43" s="90"/>
      <c r="AZ43" s="91"/>
      <c r="BA43" s="89"/>
      <c r="BB43" s="90"/>
      <c r="BC43" s="91"/>
      <c r="BD43" s="89"/>
      <c r="BE43" s="90"/>
      <c r="BF43" s="91"/>
      <c r="BG43" s="89"/>
      <c r="BH43" s="90"/>
      <c r="BI43" s="91"/>
      <c r="BJ43" s="89"/>
      <c r="BK43" s="90"/>
      <c r="BL43" s="91"/>
      <c r="BM43" s="89"/>
      <c r="BN43" s="90"/>
      <c r="BO43" s="91"/>
      <c r="BP43" s="89"/>
      <c r="BQ43" s="90"/>
      <c r="BR43" s="91"/>
      <c r="BS43" s="89"/>
      <c r="BT43" s="90"/>
      <c r="BU43" s="91"/>
      <c r="BV43" s="89"/>
      <c r="BW43" s="90"/>
      <c r="BX43" s="91"/>
      <c r="BY43" s="89"/>
      <c r="BZ43" s="90"/>
      <c r="CA43" s="91"/>
      <c r="CB43" s="89"/>
      <c r="CC43" s="90"/>
      <c r="CD43" s="91"/>
      <c r="CE43" s="89"/>
      <c r="CF43" s="90"/>
      <c r="CG43" s="91"/>
      <c r="CH43" s="89"/>
      <c r="CI43" s="90"/>
      <c r="CJ43" s="91"/>
      <c r="CK43" s="89"/>
      <c r="CL43" s="90"/>
      <c r="CM43" s="91"/>
      <c r="CN43" s="89"/>
      <c r="CO43" s="90"/>
      <c r="CP43" s="91"/>
      <c r="CQ43" s="89"/>
      <c r="CR43" s="90"/>
      <c r="CS43" s="91"/>
      <c r="CT43" s="89"/>
      <c r="CU43" s="92"/>
      <c r="CV43" s="88"/>
      <c r="CW43" s="89"/>
      <c r="CX43" s="90"/>
      <c r="CY43" s="91"/>
      <c r="CZ43" s="89"/>
      <c r="DA43" s="90"/>
      <c r="DB43" s="91"/>
      <c r="DC43" s="89"/>
      <c r="DD43" s="90"/>
      <c r="DE43" s="91"/>
      <c r="DF43" s="89"/>
      <c r="DG43" s="90"/>
      <c r="DH43" s="91"/>
      <c r="DI43" s="89"/>
      <c r="DJ43" s="90"/>
      <c r="DK43" s="91"/>
      <c r="DL43" s="89"/>
      <c r="DM43" s="90"/>
      <c r="DN43" s="91"/>
      <c r="DO43" s="89"/>
      <c r="DP43" s="90"/>
      <c r="DQ43" s="91"/>
      <c r="DR43" s="89"/>
      <c r="DS43" s="90"/>
      <c r="DT43" s="91"/>
      <c r="DU43" s="89"/>
      <c r="DV43" s="90"/>
      <c r="DW43" s="91"/>
      <c r="DX43" s="89"/>
      <c r="DY43" s="90"/>
      <c r="DZ43" s="91"/>
      <c r="EA43" s="89"/>
      <c r="EB43" s="90"/>
      <c r="EC43" s="91"/>
      <c r="ED43" s="89"/>
      <c r="EE43" s="90"/>
      <c r="EF43" s="91"/>
      <c r="EG43" s="89"/>
      <c r="EH43" s="90"/>
      <c r="EI43" s="91"/>
      <c r="EJ43" s="89"/>
      <c r="EK43" s="90"/>
      <c r="EL43" s="91"/>
      <c r="EM43" s="89"/>
      <c r="EN43" s="90"/>
      <c r="EO43" s="91"/>
      <c r="EP43" s="89"/>
      <c r="EQ43" s="90"/>
      <c r="ER43" s="91"/>
      <c r="ES43" s="89"/>
      <c r="ET43" s="90"/>
      <c r="EU43" s="91"/>
      <c r="EV43" s="89"/>
      <c r="EW43" s="90"/>
      <c r="EX43" s="91"/>
      <c r="EY43" s="89"/>
      <c r="EZ43" s="90"/>
      <c r="FA43" s="91"/>
      <c r="FB43" s="89"/>
      <c r="FC43" s="90"/>
      <c r="FD43" s="91"/>
      <c r="FE43" s="89"/>
      <c r="FF43" s="90"/>
      <c r="FG43" s="91"/>
      <c r="FH43" s="89"/>
      <c r="FI43" s="90"/>
      <c r="FJ43" s="91"/>
      <c r="FK43" s="89"/>
      <c r="FL43" s="90"/>
      <c r="FM43" s="91"/>
      <c r="FN43" s="89"/>
      <c r="FO43" s="90"/>
      <c r="FP43" s="91"/>
      <c r="FQ43" s="89"/>
      <c r="FR43" s="90"/>
      <c r="FS43" s="91"/>
      <c r="FT43" s="89"/>
      <c r="FU43" s="90"/>
      <c r="FV43" s="91"/>
      <c r="FW43" s="89"/>
      <c r="FX43" s="90"/>
      <c r="FY43" s="91"/>
      <c r="FZ43" s="89"/>
      <c r="GA43" s="90"/>
      <c r="GB43" s="91"/>
      <c r="GC43" s="89"/>
      <c r="GD43" s="90"/>
      <c r="GE43" s="91"/>
      <c r="GF43" s="89"/>
      <c r="GG43" s="90"/>
      <c r="GH43" s="91"/>
      <c r="GI43" s="89"/>
      <c r="GJ43" s="90"/>
      <c r="GK43" s="91"/>
      <c r="GL43" s="89"/>
      <c r="GM43" s="92"/>
      <c r="GN43" s="88"/>
      <c r="GO43" s="89"/>
      <c r="GP43" s="90"/>
      <c r="GQ43" s="91"/>
      <c r="GR43" s="89"/>
      <c r="GS43" s="90"/>
      <c r="GT43" s="91"/>
      <c r="GU43" s="89"/>
      <c r="GV43" s="90"/>
      <c r="GW43" s="91"/>
      <c r="GX43" s="89"/>
      <c r="GY43" s="90"/>
      <c r="GZ43" s="91"/>
      <c r="HA43" s="89"/>
      <c r="HB43" s="90"/>
      <c r="HC43" s="91"/>
      <c r="HD43" s="89"/>
      <c r="HE43" s="90"/>
      <c r="HF43" s="91"/>
      <c r="HG43" s="89"/>
      <c r="HH43" s="90"/>
      <c r="HI43" s="91"/>
      <c r="HJ43" s="89"/>
      <c r="HK43" s="90"/>
      <c r="HL43" s="91"/>
      <c r="HM43" s="89"/>
      <c r="HN43" s="90"/>
      <c r="HO43" s="91"/>
      <c r="HP43" s="89"/>
      <c r="HQ43" s="90"/>
      <c r="HR43" s="91"/>
      <c r="HS43" s="89"/>
      <c r="HT43" s="90"/>
      <c r="HU43" s="91"/>
      <c r="HV43" s="89"/>
      <c r="HW43" s="90"/>
      <c r="HX43" s="91"/>
      <c r="HY43" s="89"/>
      <c r="HZ43" s="90"/>
      <c r="IA43" s="91"/>
      <c r="IB43" s="89"/>
      <c r="IC43" s="90"/>
      <c r="ID43" s="91"/>
      <c r="IE43" s="89"/>
      <c r="IF43" s="90"/>
      <c r="IG43" s="91"/>
      <c r="IH43" s="89"/>
      <c r="II43" s="90"/>
      <c r="IJ43" s="91"/>
      <c r="IK43" s="89"/>
      <c r="IL43" s="90"/>
      <c r="IM43" s="91"/>
      <c r="IN43" s="89"/>
      <c r="IO43" s="90"/>
      <c r="IP43" s="91"/>
      <c r="IQ43" s="89"/>
      <c r="IR43" s="90"/>
      <c r="IS43" s="91"/>
      <c r="IT43" s="89"/>
      <c r="IU43" s="90"/>
      <c r="IV43" s="91"/>
      <c r="IW43" s="89"/>
      <c r="IX43" s="90"/>
      <c r="IY43" s="109"/>
      <c r="IZ43" s="107"/>
      <c r="JA43" s="108"/>
      <c r="JB43" s="109"/>
      <c r="JC43" s="107"/>
      <c r="JD43" s="108"/>
      <c r="JE43" s="109"/>
      <c r="JF43" s="107"/>
      <c r="JG43" s="108"/>
      <c r="JH43" s="91"/>
      <c r="JI43" s="89"/>
      <c r="JJ43" s="90"/>
      <c r="JK43" s="91"/>
      <c r="JL43" s="89"/>
      <c r="JM43" s="90"/>
      <c r="JN43" s="91"/>
      <c r="JO43" s="89"/>
      <c r="JP43" s="90"/>
      <c r="JQ43" s="91"/>
      <c r="JR43" s="89"/>
      <c r="JS43" s="90"/>
      <c r="JT43" s="91"/>
      <c r="JU43" s="89"/>
      <c r="JV43" s="90"/>
      <c r="JW43" s="91"/>
      <c r="JX43" s="89"/>
      <c r="JY43" s="90"/>
      <c r="JZ43" s="91"/>
      <c r="KA43" s="89"/>
      <c r="KB43" s="90"/>
      <c r="KC43" s="91"/>
      <c r="KD43" s="89"/>
      <c r="KE43" s="92"/>
      <c r="KF43" s="88"/>
      <c r="KG43" s="89"/>
      <c r="KH43" s="90"/>
      <c r="KI43" s="91"/>
      <c r="KJ43" s="89"/>
      <c r="KK43" s="90"/>
      <c r="KL43" s="91"/>
      <c r="KM43" s="89"/>
      <c r="KN43" s="90"/>
      <c r="KO43" s="91"/>
      <c r="KP43" s="89"/>
      <c r="KQ43" s="90"/>
      <c r="KR43" s="91"/>
      <c r="KS43" s="89"/>
      <c r="KT43" s="90"/>
      <c r="KU43" s="91"/>
      <c r="KV43" s="89"/>
      <c r="KW43" s="90"/>
      <c r="KX43" s="91"/>
      <c r="KY43" s="89"/>
      <c r="KZ43" s="90"/>
      <c r="LA43" s="91"/>
      <c r="LB43" s="89"/>
      <c r="LC43" s="90"/>
      <c r="LD43" s="91"/>
      <c r="LE43" s="89"/>
      <c r="LF43" s="90"/>
      <c r="LG43" s="91"/>
      <c r="LH43" s="89"/>
      <c r="LI43" s="90"/>
      <c r="LJ43" s="91"/>
      <c r="LK43" s="89"/>
      <c r="LL43" s="90"/>
      <c r="LM43" s="91"/>
      <c r="LN43" s="89"/>
      <c r="LO43" s="90"/>
      <c r="LP43" s="91"/>
      <c r="LQ43" s="89"/>
      <c r="LR43" s="90"/>
      <c r="LS43" s="91"/>
      <c r="LT43" s="89"/>
      <c r="LU43" s="90"/>
      <c r="LV43" s="91"/>
      <c r="LW43" s="89"/>
      <c r="LX43" s="90"/>
      <c r="LY43" s="91"/>
      <c r="LZ43" s="89"/>
      <c r="MA43" s="90"/>
      <c r="MB43" s="91"/>
      <c r="MC43" s="89"/>
      <c r="MD43" s="90"/>
      <c r="ME43" s="91"/>
      <c r="MF43" s="89"/>
      <c r="MG43" s="90"/>
      <c r="MH43" s="91"/>
      <c r="MI43" s="89"/>
      <c r="MJ43" s="90"/>
      <c r="MK43" s="91"/>
      <c r="ML43" s="89"/>
      <c r="MM43" s="90"/>
      <c r="MN43" s="91"/>
      <c r="MO43" s="89"/>
      <c r="MP43" s="90"/>
      <c r="MQ43" s="91"/>
      <c r="MR43" s="89"/>
      <c r="MS43" s="90"/>
      <c r="MT43" s="91"/>
      <c r="MU43" s="89"/>
      <c r="MV43" s="90"/>
      <c r="MW43" s="91"/>
      <c r="MX43" s="89"/>
      <c r="MY43" s="90"/>
      <c r="MZ43" s="91"/>
      <c r="NA43" s="89"/>
      <c r="NB43" s="90"/>
      <c r="NC43" s="91"/>
      <c r="ND43" s="89"/>
      <c r="NE43" s="90"/>
      <c r="NF43" s="91"/>
      <c r="NG43" s="89"/>
      <c r="NH43" s="90"/>
      <c r="NI43" s="91"/>
      <c r="NJ43" s="89"/>
      <c r="NK43" s="90"/>
      <c r="NL43" s="91"/>
      <c r="NM43" s="89"/>
      <c r="NN43" s="90"/>
      <c r="NO43" s="91"/>
      <c r="NP43" s="89"/>
      <c r="NQ43" s="90"/>
      <c r="NR43" s="91"/>
      <c r="NS43" s="89"/>
      <c r="NT43" s="90"/>
      <c r="NU43" s="91"/>
      <c r="NV43" s="89"/>
      <c r="NW43" s="92"/>
    </row>
    <row r="44" spans="2:387" ht="19.5" customHeight="1" thickBot="1" x14ac:dyDescent="0.3">
      <c r="B44" s="121"/>
      <c r="C44" s="99">
        <v>3</v>
      </c>
      <c r="D44" s="93"/>
      <c r="E44" s="94"/>
      <c r="F44" s="95"/>
      <c r="G44" s="96"/>
      <c r="H44" s="94"/>
      <c r="I44" s="95"/>
      <c r="J44" s="96"/>
      <c r="K44" s="94"/>
      <c r="L44" s="95"/>
      <c r="M44" s="96"/>
      <c r="N44" s="94"/>
      <c r="O44" s="95"/>
      <c r="P44" s="96"/>
      <c r="Q44" s="94"/>
      <c r="R44" s="95"/>
      <c r="S44" s="96"/>
      <c r="T44" s="94"/>
      <c r="U44" s="95"/>
      <c r="V44" s="96"/>
      <c r="W44" s="94"/>
      <c r="X44" s="95"/>
      <c r="Y44" s="96"/>
      <c r="Z44" s="94"/>
      <c r="AA44" s="95"/>
      <c r="AB44" s="96"/>
      <c r="AC44" s="94"/>
      <c r="AD44" s="95"/>
      <c r="AE44" s="96"/>
      <c r="AF44" s="94"/>
      <c r="AG44" s="95"/>
      <c r="AH44" s="96"/>
      <c r="AI44" s="94"/>
      <c r="AJ44" s="95"/>
      <c r="AK44" s="96"/>
      <c r="AL44" s="94"/>
      <c r="AM44" s="95"/>
      <c r="AN44" s="96"/>
      <c r="AO44" s="94"/>
      <c r="AP44" s="95"/>
      <c r="AQ44" s="96"/>
      <c r="AR44" s="94"/>
      <c r="AS44" s="95"/>
      <c r="AT44" s="96"/>
      <c r="AU44" s="94"/>
      <c r="AV44" s="95"/>
      <c r="AW44" s="96"/>
      <c r="AX44" s="94"/>
      <c r="AY44" s="95"/>
      <c r="AZ44" s="96"/>
      <c r="BA44" s="94"/>
      <c r="BB44" s="95"/>
      <c r="BC44" s="96"/>
      <c r="BD44" s="94"/>
      <c r="BE44" s="95"/>
      <c r="BF44" s="96"/>
      <c r="BG44" s="94"/>
      <c r="BH44" s="95"/>
      <c r="BI44" s="96"/>
      <c r="BJ44" s="94"/>
      <c r="BK44" s="95"/>
      <c r="BL44" s="96"/>
      <c r="BM44" s="94"/>
      <c r="BN44" s="95"/>
      <c r="BO44" s="96"/>
      <c r="BP44" s="94"/>
      <c r="BQ44" s="95"/>
      <c r="BR44" s="96"/>
      <c r="BS44" s="94"/>
      <c r="BT44" s="95"/>
      <c r="BU44" s="96"/>
      <c r="BV44" s="94"/>
      <c r="BW44" s="95"/>
      <c r="BX44" s="96"/>
      <c r="BY44" s="94"/>
      <c r="BZ44" s="95"/>
      <c r="CA44" s="96"/>
      <c r="CB44" s="94"/>
      <c r="CC44" s="95"/>
      <c r="CD44" s="96"/>
      <c r="CE44" s="94"/>
      <c r="CF44" s="95"/>
      <c r="CG44" s="96"/>
      <c r="CH44" s="94"/>
      <c r="CI44" s="95"/>
      <c r="CJ44" s="96"/>
      <c r="CK44" s="94"/>
      <c r="CL44" s="95"/>
      <c r="CM44" s="96"/>
      <c r="CN44" s="94"/>
      <c r="CO44" s="95"/>
      <c r="CP44" s="96"/>
      <c r="CQ44" s="94"/>
      <c r="CR44" s="95"/>
      <c r="CS44" s="96"/>
      <c r="CT44" s="94"/>
      <c r="CU44" s="97"/>
      <c r="CV44" s="93"/>
      <c r="CW44" s="94"/>
      <c r="CX44" s="95"/>
      <c r="CY44" s="96"/>
      <c r="CZ44" s="94"/>
      <c r="DA44" s="95"/>
      <c r="DB44" s="96"/>
      <c r="DC44" s="94"/>
      <c r="DD44" s="95"/>
      <c r="DE44" s="96"/>
      <c r="DF44" s="94"/>
      <c r="DG44" s="95"/>
      <c r="DH44" s="96"/>
      <c r="DI44" s="94"/>
      <c r="DJ44" s="95"/>
      <c r="DK44" s="96"/>
      <c r="DL44" s="94"/>
      <c r="DM44" s="95"/>
      <c r="DN44" s="96"/>
      <c r="DO44" s="94"/>
      <c r="DP44" s="95"/>
      <c r="DQ44" s="96"/>
      <c r="DR44" s="94"/>
      <c r="DS44" s="95"/>
      <c r="DT44" s="96"/>
      <c r="DU44" s="94"/>
      <c r="DV44" s="95"/>
      <c r="DW44" s="96"/>
      <c r="DX44" s="94"/>
      <c r="DY44" s="95"/>
      <c r="DZ44" s="96"/>
      <c r="EA44" s="94"/>
      <c r="EB44" s="95"/>
      <c r="EC44" s="96"/>
      <c r="ED44" s="94"/>
      <c r="EE44" s="95"/>
      <c r="EF44" s="96"/>
      <c r="EG44" s="94"/>
      <c r="EH44" s="95"/>
      <c r="EI44" s="96"/>
      <c r="EJ44" s="94"/>
      <c r="EK44" s="95"/>
      <c r="EL44" s="96"/>
      <c r="EM44" s="94"/>
      <c r="EN44" s="95"/>
      <c r="EO44" s="96"/>
      <c r="EP44" s="94"/>
      <c r="EQ44" s="95"/>
      <c r="ER44" s="96"/>
      <c r="ES44" s="94"/>
      <c r="ET44" s="95"/>
      <c r="EU44" s="96"/>
      <c r="EV44" s="94"/>
      <c r="EW44" s="95"/>
      <c r="EX44" s="96"/>
      <c r="EY44" s="94"/>
      <c r="EZ44" s="95"/>
      <c r="FA44" s="96"/>
      <c r="FB44" s="94"/>
      <c r="FC44" s="95"/>
      <c r="FD44" s="96"/>
      <c r="FE44" s="94"/>
      <c r="FF44" s="95"/>
      <c r="FG44" s="96"/>
      <c r="FH44" s="94"/>
      <c r="FI44" s="95"/>
      <c r="FJ44" s="96"/>
      <c r="FK44" s="94"/>
      <c r="FL44" s="95"/>
      <c r="FM44" s="96"/>
      <c r="FN44" s="94"/>
      <c r="FO44" s="95"/>
      <c r="FP44" s="96"/>
      <c r="FQ44" s="94"/>
      <c r="FR44" s="95"/>
      <c r="FS44" s="96"/>
      <c r="FT44" s="94"/>
      <c r="FU44" s="95"/>
      <c r="FV44" s="96"/>
      <c r="FW44" s="94"/>
      <c r="FX44" s="95"/>
      <c r="FY44" s="96"/>
      <c r="FZ44" s="94"/>
      <c r="GA44" s="95"/>
      <c r="GB44" s="96"/>
      <c r="GC44" s="94"/>
      <c r="GD44" s="95"/>
      <c r="GE44" s="96"/>
      <c r="GF44" s="94"/>
      <c r="GG44" s="95"/>
      <c r="GH44" s="96"/>
      <c r="GI44" s="94"/>
      <c r="GJ44" s="95"/>
      <c r="GK44" s="96"/>
      <c r="GL44" s="94"/>
      <c r="GM44" s="97"/>
      <c r="GN44" s="93"/>
      <c r="GO44" s="94"/>
      <c r="GP44" s="95"/>
      <c r="GQ44" s="96"/>
      <c r="GR44" s="94"/>
      <c r="GS44" s="95"/>
      <c r="GT44" s="96"/>
      <c r="GU44" s="94"/>
      <c r="GV44" s="95"/>
      <c r="GW44" s="96"/>
      <c r="GX44" s="94"/>
      <c r="GY44" s="95"/>
      <c r="GZ44" s="96"/>
      <c r="HA44" s="94"/>
      <c r="HB44" s="95"/>
      <c r="HC44" s="96"/>
      <c r="HD44" s="94"/>
      <c r="HE44" s="95"/>
      <c r="HF44" s="96"/>
      <c r="HG44" s="94"/>
      <c r="HH44" s="95"/>
      <c r="HI44" s="96"/>
      <c r="HJ44" s="94"/>
      <c r="HK44" s="95"/>
      <c r="HL44" s="96"/>
      <c r="HM44" s="94"/>
      <c r="HN44" s="95"/>
      <c r="HO44" s="96"/>
      <c r="HP44" s="94"/>
      <c r="HQ44" s="95"/>
      <c r="HR44" s="96"/>
      <c r="HS44" s="94"/>
      <c r="HT44" s="95"/>
      <c r="HU44" s="96"/>
      <c r="HV44" s="94"/>
      <c r="HW44" s="95"/>
      <c r="HX44" s="96"/>
      <c r="HY44" s="94"/>
      <c r="HZ44" s="95"/>
      <c r="IA44" s="96"/>
      <c r="IB44" s="94"/>
      <c r="IC44" s="95"/>
      <c r="ID44" s="96"/>
      <c r="IE44" s="94"/>
      <c r="IF44" s="130"/>
      <c r="IG44" s="131"/>
      <c r="IH44" s="129"/>
      <c r="II44" s="95"/>
      <c r="IJ44" s="96"/>
      <c r="IK44" s="94"/>
      <c r="IL44" s="95"/>
      <c r="IM44" s="96"/>
      <c r="IN44" s="94"/>
      <c r="IO44" s="95"/>
      <c r="IP44" s="96"/>
      <c r="IQ44" s="94"/>
      <c r="IR44" s="95"/>
      <c r="IS44" s="96"/>
      <c r="IT44" s="94"/>
      <c r="IU44" s="95"/>
      <c r="IV44" s="96"/>
      <c r="IW44" s="94"/>
      <c r="IX44" s="95"/>
      <c r="IY44" s="96"/>
      <c r="IZ44" s="94"/>
      <c r="JA44" s="95"/>
      <c r="JB44" s="96"/>
      <c r="JC44" s="94"/>
      <c r="JD44" s="95"/>
      <c r="JE44" s="96"/>
      <c r="JF44" s="94"/>
      <c r="JG44" s="95"/>
      <c r="JH44" s="96"/>
      <c r="JI44" s="94"/>
      <c r="JJ44" s="95"/>
      <c r="JK44" s="96"/>
      <c r="JL44" s="94"/>
      <c r="JM44" s="95"/>
      <c r="JN44" s="96"/>
      <c r="JO44" s="94"/>
      <c r="JP44" s="95"/>
      <c r="JQ44" s="96"/>
      <c r="JR44" s="94"/>
      <c r="JS44" s="95"/>
      <c r="JT44" s="96"/>
      <c r="JU44" s="94"/>
      <c r="JV44" s="95"/>
      <c r="JW44" s="96"/>
      <c r="JX44" s="94"/>
      <c r="JY44" s="95"/>
      <c r="JZ44" s="96"/>
      <c r="KA44" s="94"/>
      <c r="KB44" s="95"/>
      <c r="KC44" s="96"/>
      <c r="KD44" s="94"/>
      <c r="KE44" s="97"/>
      <c r="KF44" s="93"/>
      <c r="KG44" s="94"/>
      <c r="KH44" s="95"/>
      <c r="KI44" s="96"/>
      <c r="KJ44" s="94"/>
      <c r="KK44" s="95"/>
      <c r="KL44" s="96"/>
      <c r="KM44" s="94"/>
      <c r="KN44" s="95"/>
      <c r="KO44" s="96"/>
      <c r="KP44" s="94"/>
      <c r="KQ44" s="95"/>
      <c r="KR44" s="96"/>
      <c r="KS44" s="94"/>
      <c r="KT44" s="95"/>
      <c r="KU44" s="96"/>
      <c r="KV44" s="94"/>
      <c r="KW44" s="95"/>
      <c r="KX44" s="96"/>
      <c r="KY44" s="94"/>
      <c r="KZ44" s="95"/>
      <c r="LA44" s="96"/>
      <c r="LB44" s="94"/>
      <c r="LC44" s="95"/>
      <c r="LD44" s="96"/>
      <c r="LE44" s="94"/>
      <c r="LF44" s="95"/>
      <c r="LG44" s="96"/>
      <c r="LH44" s="94"/>
      <c r="LI44" s="95"/>
      <c r="LJ44" s="96"/>
      <c r="LK44" s="94"/>
      <c r="LL44" s="95"/>
      <c r="LM44" s="96"/>
      <c r="LN44" s="94"/>
      <c r="LO44" s="95"/>
      <c r="LP44" s="96"/>
      <c r="LQ44" s="94"/>
      <c r="LR44" s="95"/>
      <c r="LS44" s="96"/>
      <c r="LT44" s="94"/>
      <c r="LU44" s="95"/>
      <c r="LV44" s="96"/>
      <c r="LW44" s="94"/>
      <c r="LX44" s="95"/>
      <c r="LY44" s="96"/>
      <c r="LZ44" s="94"/>
      <c r="MA44" s="95"/>
      <c r="MB44" s="96"/>
      <c r="MC44" s="94"/>
      <c r="MD44" s="95"/>
      <c r="ME44" s="96"/>
      <c r="MF44" s="94"/>
      <c r="MG44" s="95"/>
      <c r="MH44" s="96"/>
      <c r="MI44" s="94"/>
      <c r="MJ44" s="95"/>
      <c r="MK44" s="96"/>
      <c r="ML44" s="94"/>
      <c r="MM44" s="95"/>
      <c r="MN44" s="96"/>
      <c r="MO44" s="94"/>
      <c r="MP44" s="95"/>
      <c r="MQ44" s="96"/>
      <c r="MR44" s="94"/>
      <c r="MS44" s="95"/>
      <c r="MT44" s="96"/>
      <c r="MU44" s="94"/>
      <c r="MV44" s="95"/>
      <c r="MW44" s="96"/>
      <c r="MX44" s="94"/>
      <c r="MY44" s="95"/>
      <c r="MZ44" s="96"/>
      <c r="NA44" s="94"/>
      <c r="NB44" s="95"/>
      <c r="NC44" s="96"/>
      <c r="ND44" s="94"/>
      <c r="NE44" s="95"/>
      <c r="NF44" s="96"/>
      <c r="NG44" s="94"/>
      <c r="NH44" s="95"/>
      <c r="NI44" s="96"/>
      <c r="NJ44" s="94"/>
      <c r="NK44" s="95"/>
      <c r="NL44" s="96"/>
      <c r="NM44" s="94"/>
      <c r="NN44" s="95"/>
      <c r="NO44" s="96"/>
      <c r="NP44" s="94"/>
      <c r="NQ44" s="95"/>
      <c r="NR44" s="96"/>
      <c r="NS44" s="94"/>
      <c r="NT44" s="95"/>
      <c r="NU44" s="96"/>
      <c r="NV44" s="94"/>
      <c r="NW44" s="97"/>
    </row>
    <row r="45" spans="2:387" ht="19.5" customHeight="1" x14ac:dyDescent="0.25">
      <c r="B45" s="120" t="str">
        <f>Donnees!$C$41</f>
        <v>Configuration de la liaison via VPN</v>
      </c>
      <c r="C45" s="98">
        <v>15</v>
      </c>
      <c r="D45" s="88"/>
      <c r="E45" s="89"/>
      <c r="F45" s="90"/>
      <c r="G45" s="91"/>
      <c r="H45" s="89"/>
      <c r="I45" s="90"/>
      <c r="J45" s="91"/>
      <c r="K45" s="89"/>
      <c r="L45" s="90"/>
      <c r="M45" s="91"/>
      <c r="N45" s="89"/>
      <c r="O45" s="90"/>
      <c r="P45" s="91"/>
      <c r="Q45" s="89"/>
      <c r="R45" s="90"/>
      <c r="S45" s="91"/>
      <c r="T45" s="89"/>
      <c r="U45" s="90"/>
      <c r="V45" s="91"/>
      <c r="W45" s="89"/>
      <c r="X45" s="90"/>
      <c r="Y45" s="91"/>
      <c r="Z45" s="89"/>
      <c r="AA45" s="90"/>
      <c r="AB45" s="91"/>
      <c r="AC45" s="89"/>
      <c r="AD45" s="90"/>
      <c r="AE45" s="91"/>
      <c r="AF45" s="89"/>
      <c r="AG45" s="90"/>
      <c r="AH45" s="91"/>
      <c r="AI45" s="89"/>
      <c r="AJ45" s="90"/>
      <c r="AK45" s="91"/>
      <c r="AL45" s="89"/>
      <c r="AM45" s="90"/>
      <c r="AN45" s="91"/>
      <c r="AO45" s="89"/>
      <c r="AP45" s="90"/>
      <c r="AQ45" s="91"/>
      <c r="AR45" s="89"/>
      <c r="AS45" s="90"/>
      <c r="AT45" s="91"/>
      <c r="AU45" s="89"/>
      <c r="AV45" s="90"/>
      <c r="AW45" s="91"/>
      <c r="AX45" s="89"/>
      <c r="AY45" s="90"/>
      <c r="AZ45" s="91"/>
      <c r="BA45" s="89"/>
      <c r="BB45" s="90"/>
      <c r="BC45" s="91"/>
      <c r="BD45" s="89"/>
      <c r="BE45" s="90"/>
      <c r="BF45" s="91"/>
      <c r="BG45" s="89"/>
      <c r="BH45" s="90"/>
      <c r="BI45" s="91"/>
      <c r="BJ45" s="89"/>
      <c r="BK45" s="90"/>
      <c r="BL45" s="91"/>
      <c r="BM45" s="89"/>
      <c r="BN45" s="90"/>
      <c r="BO45" s="91"/>
      <c r="BP45" s="89"/>
      <c r="BQ45" s="90"/>
      <c r="BR45" s="91"/>
      <c r="BS45" s="89"/>
      <c r="BT45" s="90"/>
      <c r="BU45" s="91"/>
      <c r="BV45" s="89"/>
      <c r="BW45" s="90"/>
      <c r="BX45" s="91"/>
      <c r="BY45" s="89"/>
      <c r="BZ45" s="90"/>
      <c r="CA45" s="91"/>
      <c r="CB45" s="89"/>
      <c r="CC45" s="90"/>
      <c r="CD45" s="91"/>
      <c r="CE45" s="89"/>
      <c r="CF45" s="90"/>
      <c r="CG45" s="91"/>
      <c r="CH45" s="89"/>
      <c r="CI45" s="90"/>
      <c r="CJ45" s="91"/>
      <c r="CK45" s="89"/>
      <c r="CL45" s="90"/>
      <c r="CM45" s="91"/>
      <c r="CN45" s="89"/>
      <c r="CO45" s="90"/>
      <c r="CP45" s="91"/>
      <c r="CQ45" s="89"/>
      <c r="CR45" s="90"/>
      <c r="CS45" s="91"/>
      <c r="CT45" s="89"/>
      <c r="CU45" s="92"/>
      <c r="CV45" s="88"/>
      <c r="CW45" s="89"/>
      <c r="CX45" s="90"/>
      <c r="CY45" s="91"/>
      <c r="CZ45" s="89"/>
      <c r="DA45" s="90"/>
      <c r="DB45" s="91"/>
      <c r="DC45" s="89"/>
      <c r="DD45" s="90"/>
      <c r="DE45" s="91"/>
      <c r="DF45" s="89"/>
      <c r="DG45" s="90"/>
      <c r="DH45" s="91"/>
      <c r="DI45" s="89"/>
      <c r="DJ45" s="90"/>
      <c r="DK45" s="91"/>
      <c r="DL45" s="89"/>
      <c r="DM45" s="90"/>
      <c r="DN45" s="91"/>
      <c r="DO45" s="89"/>
      <c r="DP45" s="90"/>
      <c r="DQ45" s="91"/>
      <c r="DR45" s="89"/>
      <c r="DS45" s="90"/>
      <c r="DT45" s="91"/>
      <c r="DU45" s="89"/>
      <c r="DV45" s="90"/>
      <c r="DW45" s="91"/>
      <c r="DX45" s="89"/>
      <c r="DY45" s="90"/>
      <c r="DZ45" s="91"/>
      <c r="EA45" s="89"/>
      <c r="EB45" s="90"/>
      <c r="EC45" s="91"/>
      <c r="ED45" s="89"/>
      <c r="EE45" s="90"/>
      <c r="EF45" s="91"/>
      <c r="EG45" s="89"/>
      <c r="EH45" s="90"/>
      <c r="EI45" s="91"/>
      <c r="EJ45" s="89"/>
      <c r="EK45" s="90"/>
      <c r="EL45" s="91"/>
      <c r="EM45" s="89"/>
      <c r="EN45" s="90"/>
      <c r="EO45" s="91"/>
      <c r="EP45" s="89"/>
      <c r="EQ45" s="90"/>
      <c r="ER45" s="91"/>
      <c r="ES45" s="89"/>
      <c r="ET45" s="90"/>
      <c r="EU45" s="91"/>
      <c r="EV45" s="89"/>
      <c r="EW45" s="90"/>
      <c r="EX45" s="91"/>
      <c r="EY45" s="89"/>
      <c r="EZ45" s="90"/>
      <c r="FA45" s="91"/>
      <c r="FB45" s="89"/>
      <c r="FC45" s="90"/>
      <c r="FD45" s="91"/>
      <c r="FE45" s="89"/>
      <c r="FF45" s="90"/>
      <c r="FG45" s="91"/>
      <c r="FH45" s="89"/>
      <c r="FI45" s="90"/>
      <c r="FJ45" s="91"/>
      <c r="FK45" s="89"/>
      <c r="FL45" s="90"/>
      <c r="FM45" s="91"/>
      <c r="FN45" s="89"/>
      <c r="FO45" s="90"/>
      <c r="FP45" s="91"/>
      <c r="FQ45" s="89"/>
      <c r="FR45" s="90"/>
      <c r="FS45" s="91"/>
      <c r="FT45" s="89"/>
      <c r="FU45" s="90"/>
      <c r="FV45" s="91"/>
      <c r="FW45" s="89"/>
      <c r="FX45" s="90"/>
      <c r="FY45" s="91"/>
      <c r="FZ45" s="89"/>
      <c r="GA45" s="90"/>
      <c r="GB45" s="91"/>
      <c r="GC45" s="89"/>
      <c r="GD45" s="90"/>
      <c r="GE45" s="91"/>
      <c r="GF45" s="89"/>
      <c r="GG45" s="90"/>
      <c r="GH45" s="91"/>
      <c r="GI45" s="89"/>
      <c r="GJ45" s="90"/>
      <c r="GK45" s="91"/>
      <c r="GL45" s="89"/>
      <c r="GM45" s="92"/>
      <c r="GN45" s="88"/>
      <c r="GO45" s="89"/>
      <c r="GP45" s="90"/>
      <c r="GQ45" s="91"/>
      <c r="GR45" s="89"/>
      <c r="GS45" s="90"/>
      <c r="GT45" s="91"/>
      <c r="GU45" s="89"/>
      <c r="GV45" s="90"/>
      <c r="GW45" s="91"/>
      <c r="GX45" s="89"/>
      <c r="GY45" s="90"/>
      <c r="GZ45" s="91"/>
      <c r="HA45" s="89"/>
      <c r="HB45" s="90"/>
      <c r="HC45" s="91"/>
      <c r="HD45" s="89"/>
      <c r="HE45" s="90"/>
      <c r="HF45" s="91"/>
      <c r="HG45" s="89"/>
      <c r="HH45" s="90"/>
      <c r="HI45" s="91"/>
      <c r="HJ45" s="89"/>
      <c r="HK45" s="90"/>
      <c r="HL45" s="91"/>
      <c r="HM45" s="89"/>
      <c r="HN45" s="90"/>
      <c r="HO45" s="91"/>
      <c r="HP45" s="89"/>
      <c r="HQ45" s="90"/>
      <c r="HR45" s="91"/>
      <c r="HS45" s="89"/>
      <c r="HT45" s="90"/>
      <c r="HU45" s="91"/>
      <c r="HV45" s="89"/>
      <c r="HW45" s="90"/>
      <c r="HX45" s="91"/>
      <c r="HY45" s="89"/>
      <c r="HZ45" s="90"/>
      <c r="IA45" s="91"/>
      <c r="IB45" s="89"/>
      <c r="IC45" s="90"/>
      <c r="ID45" s="91"/>
      <c r="IE45" s="89"/>
      <c r="IF45" s="90"/>
      <c r="IG45" s="91"/>
      <c r="IH45" s="89"/>
      <c r="II45" s="90"/>
      <c r="IJ45" s="91"/>
      <c r="IK45" s="89"/>
      <c r="IL45" s="90"/>
      <c r="IM45" s="91"/>
      <c r="IN45" s="89"/>
      <c r="IO45" s="90"/>
      <c r="IP45" s="91"/>
      <c r="IQ45" s="89"/>
      <c r="IR45" s="90"/>
      <c r="IS45" s="91"/>
      <c r="IT45" s="89"/>
      <c r="IU45" s="90"/>
      <c r="IV45" s="91"/>
      <c r="IW45" s="89"/>
      <c r="IX45" s="90"/>
      <c r="IY45" s="91"/>
      <c r="IZ45" s="89"/>
      <c r="JA45" s="90"/>
      <c r="JB45" s="91"/>
      <c r="JC45" s="89"/>
      <c r="JD45" s="90"/>
      <c r="JE45" s="91"/>
      <c r="JF45" s="89"/>
      <c r="JG45" s="90"/>
      <c r="JH45" s="91"/>
      <c r="JI45" s="89"/>
      <c r="JJ45" s="90"/>
      <c r="JK45" s="91"/>
      <c r="JL45" s="89"/>
      <c r="JM45" s="90"/>
      <c r="JN45" s="91"/>
      <c r="JO45" s="89"/>
      <c r="JP45" s="90"/>
      <c r="JQ45" s="91"/>
      <c r="JR45" s="89"/>
      <c r="JS45" s="90"/>
      <c r="JT45" s="91"/>
      <c r="JU45" s="89"/>
      <c r="JV45" s="90"/>
      <c r="JW45" s="91"/>
      <c r="JX45" s="89"/>
      <c r="JY45" s="90"/>
      <c r="JZ45" s="91"/>
      <c r="KA45" s="89"/>
      <c r="KB45" s="90"/>
      <c r="KC45" s="91"/>
      <c r="KD45" s="89"/>
      <c r="KE45" s="92"/>
      <c r="KF45" s="106"/>
      <c r="KG45" s="107"/>
      <c r="KH45" s="108"/>
      <c r="KI45" s="109"/>
      <c r="KJ45" s="107"/>
      <c r="KK45" s="108"/>
      <c r="KL45" s="109"/>
      <c r="KM45" s="107"/>
      <c r="KN45" s="108"/>
      <c r="KO45" s="109"/>
      <c r="KP45" s="107"/>
      <c r="KQ45" s="108"/>
      <c r="KR45" s="109"/>
      <c r="KS45" s="107"/>
      <c r="KT45" s="108"/>
      <c r="KU45" s="91"/>
      <c r="KV45" s="89"/>
      <c r="KW45" s="90"/>
      <c r="KX45" s="91"/>
      <c r="KY45" s="89"/>
      <c r="KZ45" s="90"/>
      <c r="LA45" s="91"/>
      <c r="LB45" s="89"/>
      <c r="LC45" s="90"/>
      <c r="LD45" s="91"/>
      <c r="LE45" s="89"/>
      <c r="LF45" s="90"/>
      <c r="LG45" s="91"/>
      <c r="LH45" s="89"/>
      <c r="LI45" s="90"/>
      <c r="LJ45" s="91"/>
      <c r="LK45" s="89"/>
      <c r="LL45" s="90"/>
      <c r="LM45" s="91"/>
      <c r="LN45" s="89"/>
      <c r="LO45" s="90"/>
      <c r="LP45" s="91"/>
      <c r="LQ45" s="89"/>
      <c r="LR45" s="90"/>
      <c r="LS45" s="91"/>
      <c r="LT45" s="89"/>
      <c r="LU45" s="90"/>
      <c r="LV45" s="91"/>
      <c r="LW45" s="89"/>
      <c r="LX45" s="90"/>
      <c r="LY45" s="91"/>
      <c r="LZ45" s="89"/>
      <c r="MA45" s="90"/>
      <c r="MB45" s="91"/>
      <c r="MC45" s="89"/>
      <c r="MD45" s="90"/>
      <c r="ME45" s="91"/>
      <c r="MF45" s="89"/>
      <c r="MG45" s="90"/>
      <c r="MH45" s="91"/>
      <c r="MI45" s="89"/>
      <c r="MJ45" s="90"/>
      <c r="MK45" s="91"/>
      <c r="ML45" s="89"/>
      <c r="MM45" s="90"/>
      <c r="MN45" s="91"/>
      <c r="MO45" s="89"/>
      <c r="MP45" s="90"/>
      <c r="MQ45" s="91"/>
      <c r="MR45" s="89"/>
      <c r="MS45" s="90"/>
      <c r="MT45" s="91"/>
      <c r="MU45" s="89"/>
      <c r="MV45" s="90"/>
      <c r="MW45" s="91"/>
      <c r="MX45" s="89"/>
      <c r="MY45" s="90"/>
      <c r="MZ45" s="91"/>
      <c r="NA45" s="89"/>
      <c r="NB45" s="90"/>
      <c r="NC45" s="91"/>
      <c r="ND45" s="89"/>
      <c r="NE45" s="90"/>
      <c r="NF45" s="91"/>
      <c r="NG45" s="89"/>
      <c r="NH45" s="90"/>
      <c r="NI45" s="91"/>
      <c r="NJ45" s="89"/>
      <c r="NK45" s="90"/>
      <c r="NL45" s="91"/>
      <c r="NM45" s="89"/>
      <c r="NN45" s="90"/>
      <c r="NO45" s="91"/>
      <c r="NP45" s="89"/>
      <c r="NQ45" s="90"/>
      <c r="NR45" s="91"/>
      <c r="NS45" s="89"/>
      <c r="NT45" s="90"/>
      <c r="NU45" s="91"/>
      <c r="NV45" s="89"/>
      <c r="NW45" s="92"/>
    </row>
    <row r="46" spans="2:387" ht="19.5" customHeight="1" thickBot="1" x14ac:dyDescent="0.3">
      <c r="B46" s="121"/>
      <c r="C46" s="99">
        <v>18</v>
      </c>
      <c r="D46" s="93"/>
      <c r="E46" s="94"/>
      <c r="F46" s="95"/>
      <c r="G46" s="96"/>
      <c r="H46" s="94"/>
      <c r="I46" s="95"/>
      <c r="J46" s="96"/>
      <c r="K46" s="94"/>
      <c r="L46" s="95"/>
      <c r="M46" s="96"/>
      <c r="N46" s="94"/>
      <c r="O46" s="95"/>
      <c r="P46" s="96"/>
      <c r="Q46" s="94"/>
      <c r="R46" s="95"/>
      <c r="S46" s="96"/>
      <c r="T46" s="94"/>
      <c r="U46" s="95"/>
      <c r="V46" s="96"/>
      <c r="W46" s="94"/>
      <c r="X46" s="95"/>
      <c r="Y46" s="96"/>
      <c r="Z46" s="94"/>
      <c r="AA46" s="95"/>
      <c r="AB46" s="96"/>
      <c r="AC46" s="94"/>
      <c r="AD46" s="95"/>
      <c r="AE46" s="96"/>
      <c r="AF46" s="94"/>
      <c r="AG46" s="95"/>
      <c r="AH46" s="96"/>
      <c r="AI46" s="94"/>
      <c r="AJ46" s="95"/>
      <c r="AK46" s="96"/>
      <c r="AL46" s="94"/>
      <c r="AM46" s="95"/>
      <c r="AN46" s="96"/>
      <c r="AO46" s="94"/>
      <c r="AP46" s="95"/>
      <c r="AQ46" s="96"/>
      <c r="AR46" s="94"/>
      <c r="AS46" s="95"/>
      <c r="AT46" s="96"/>
      <c r="AU46" s="94"/>
      <c r="AV46" s="95"/>
      <c r="AW46" s="96"/>
      <c r="AX46" s="94"/>
      <c r="AY46" s="95"/>
      <c r="AZ46" s="96"/>
      <c r="BA46" s="94"/>
      <c r="BB46" s="95"/>
      <c r="BC46" s="96"/>
      <c r="BD46" s="94"/>
      <c r="BE46" s="95"/>
      <c r="BF46" s="96"/>
      <c r="BG46" s="94"/>
      <c r="BH46" s="95"/>
      <c r="BI46" s="96"/>
      <c r="BJ46" s="94"/>
      <c r="BK46" s="95"/>
      <c r="BL46" s="96"/>
      <c r="BM46" s="94"/>
      <c r="BN46" s="95"/>
      <c r="BO46" s="96"/>
      <c r="BP46" s="94"/>
      <c r="BQ46" s="95"/>
      <c r="BR46" s="96"/>
      <c r="BS46" s="94"/>
      <c r="BT46" s="95"/>
      <c r="BU46" s="96"/>
      <c r="BV46" s="94"/>
      <c r="BW46" s="95"/>
      <c r="BX46" s="96"/>
      <c r="BY46" s="94"/>
      <c r="BZ46" s="95"/>
      <c r="CA46" s="96"/>
      <c r="CB46" s="94"/>
      <c r="CC46" s="95"/>
      <c r="CD46" s="96"/>
      <c r="CE46" s="94"/>
      <c r="CF46" s="95"/>
      <c r="CG46" s="96"/>
      <c r="CH46" s="94"/>
      <c r="CI46" s="95"/>
      <c r="CJ46" s="96"/>
      <c r="CK46" s="94"/>
      <c r="CL46" s="95"/>
      <c r="CM46" s="96"/>
      <c r="CN46" s="94"/>
      <c r="CO46" s="95"/>
      <c r="CP46" s="96"/>
      <c r="CQ46" s="94"/>
      <c r="CR46" s="95"/>
      <c r="CS46" s="96"/>
      <c r="CT46" s="94"/>
      <c r="CU46" s="97"/>
      <c r="CV46" s="93"/>
      <c r="CW46" s="94"/>
      <c r="CX46" s="95"/>
      <c r="CY46" s="96"/>
      <c r="CZ46" s="94"/>
      <c r="DA46" s="95"/>
      <c r="DB46" s="96"/>
      <c r="DC46" s="94"/>
      <c r="DD46" s="95"/>
      <c r="DE46" s="96"/>
      <c r="DF46" s="94"/>
      <c r="DG46" s="95"/>
      <c r="DH46" s="96"/>
      <c r="DI46" s="94"/>
      <c r="DJ46" s="95"/>
      <c r="DK46" s="96"/>
      <c r="DL46" s="94"/>
      <c r="DM46" s="95"/>
      <c r="DN46" s="96"/>
      <c r="DO46" s="94"/>
      <c r="DP46" s="95"/>
      <c r="DQ46" s="96"/>
      <c r="DR46" s="94"/>
      <c r="DS46" s="95"/>
      <c r="DT46" s="96"/>
      <c r="DU46" s="94"/>
      <c r="DV46" s="95"/>
      <c r="DW46" s="96"/>
      <c r="DX46" s="94"/>
      <c r="DY46" s="95"/>
      <c r="DZ46" s="96"/>
      <c r="EA46" s="94"/>
      <c r="EB46" s="95"/>
      <c r="EC46" s="96"/>
      <c r="ED46" s="94"/>
      <c r="EE46" s="95"/>
      <c r="EF46" s="96"/>
      <c r="EG46" s="94"/>
      <c r="EH46" s="95"/>
      <c r="EI46" s="96"/>
      <c r="EJ46" s="94"/>
      <c r="EK46" s="95"/>
      <c r="EL46" s="96"/>
      <c r="EM46" s="94"/>
      <c r="EN46" s="95"/>
      <c r="EO46" s="96"/>
      <c r="EP46" s="94"/>
      <c r="EQ46" s="95"/>
      <c r="ER46" s="96"/>
      <c r="ES46" s="94"/>
      <c r="ET46" s="95"/>
      <c r="EU46" s="96"/>
      <c r="EV46" s="94"/>
      <c r="EW46" s="95"/>
      <c r="EX46" s="96"/>
      <c r="EY46" s="94"/>
      <c r="EZ46" s="95"/>
      <c r="FA46" s="96"/>
      <c r="FB46" s="94"/>
      <c r="FC46" s="95"/>
      <c r="FD46" s="96"/>
      <c r="FE46" s="94"/>
      <c r="FF46" s="95"/>
      <c r="FG46" s="96"/>
      <c r="FH46" s="94"/>
      <c r="FI46" s="95"/>
      <c r="FJ46" s="96"/>
      <c r="FK46" s="94"/>
      <c r="FL46" s="95"/>
      <c r="FM46" s="96"/>
      <c r="FN46" s="94"/>
      <c r="FO46" s="95"/>
      <c r="FP46" s="96"/>
      <c r="FQ46" s="94"/>
      <c r="FR46" s="95"/>
      <c r="FS46" s="96"/>
      <c r="FT46" s="94"/>
      <c r="FU46" s="95"/>
      <c r="FV46" s="96"/>
      <c r="FW46" s="94"/>
      <c r="FX46" s="95"/>
      <c r="FY46" s="96"/>
      <c r="FZ46" s="94"/>
      <c r="GA46" s="95"/>
      <c r="GB46" s="96"/>
      <c r="GC46" s="94"/>
      <c r="GD46" s="95"/>
      <c r="GE46" s="96"/>
      <c r="GF46" s="94"/>
      <c r="GG46" s="95"/>
      <c r="GH46" s="96"/>
      <c r="GI46" s="94"/>
      <c r="GJ46" s="95"/>
      <c r="GK46" s="96"/>
      <c r="GL46" s="94"/>
      <c r="GM46" s="97"/>
      <c r="GN46" s="93"/>
      <c r="GO46" s="94"/>
      <c r="GP46" s="95"/>
      <c r="GQ46" s="96"/>
      <c r="GR46" s="94"/>
      <c r="GS46" s="95"/>
      <c r="GT46" s="96"/>
      <c r="GU46" s="94"/>
      <c r="GV46" s="95"/>
      <c r="GW46" s="96"/>
      <c r="GX46" s="94"/>
      <c r="GY46" s="95"/>
      <c r="GZ46" s="96"/>
      <c r="HA46" s="94"/>
      <c r="HB46" s="95"/>
      <c r="HC46" s="96"/>
      <c r="HD46" s="94"/>
      <c r="HE46" s="95"/>
      <c r="HF46" s="96"/>
      <c r="HG46" s="94"/>
      <c r="HH46" s="95"/>
      <c r="HI46" s="96"/>
      <c r="HJ46" s="94"/>
      <c r="HK46" s="95"/>
      <c r="HL46" s="96"/>
      <c r="HM46" s="94"/>
      <c r="HN46" s="95"/>
      <c r="HO46" s="96"/>
      <c r="HP46" s="94"/>
      <c r="HQ46" s="95"/>
      <c r="HR46" s="96"/>
      <c r="HS46" s="94"/>
      <c r="HT46" s="95"/>
      <c r="HU46" s="96"/>
      <c r="HV46" s="94"/>
      <c r="HW46" s="95"/>
      <c r="HX46" s="96"/>
      <c r="HY46" s="94"/>
      <c r="HZ46" s="95"/>
      <c r="IA46" s="96"/>
      <c r="IB46" s="94"/>
      <c r="IC46" s="95"/>
      <c r="ID46" s="96"/>
      <c r="IE46" s="94"/>
      <c r="IF46" s="95"/>
      <c r="IG46" s="96"/>
      <c r="IH46" s="94"/>
      <c r="II46" s="130"/>
      <c r="IJ46" s="131"/>
      <c r="IK46" s="129"/>
      <c r="IL46" s="130"/>
      <c r="IM46" s="131"/>
      <c r="IN46" s="129"/>
      <c r="IO46" s="130"/>
      <c r="IP46" s="131"/>
      <c r="IQ46" s="129"/>
      <c r="IR46" s="130"/>
      <c r="IS46" s="131"/>
      <c r="IT46" s="129"/>
      <c r="IU46" s="130"/>
      <c r="IV46" s="131"/>
      <c r="IW46" s="129"/>
      <c r="IX46" s="130"/>
      <c r="IY46" s="131"/>
      <c r="IZ46" s="129"/>
      <c r="JA46" s="95"/>
      <c r="JB46" s="96"/>
      <c r="JC46" s="94"/>
      <c r="JD46" s="95"/>
      <c r="JE46" s="96"/>
      <c r="JF46" s="94"/>
      <c r="JG46" s="95"/>
      <c r="JH46" s="96"/>
      <c r="JI46" s="94"/>
      <c r="JJ46" s="95"/>
      <c r="JK46" s="96"/>
      <c r="JL46" s="94"/>
      <c r="JM46" s="95"/>
      <c r="JN46" s="96"/>
      <c r="JO46" s="94"/>
      <c r="JP46" s="95"/>
      <c r="JQ46" s="96"/>
      <c r="JR46" s="94"/>
      <c r="JS46" s="95"/>
      <c r="JT46" s="96"/>
      <c r="JU46" s="94"/>
      <c r="JV46" s="95"/>
      <c r="JW46" s="96"/>
      <c r="JX46" s="94"/>
      <c r="JY46" s="95"/>
      <c r="JZ46" s="96"/>
      <c r="KA46" s="94"/>
      <c r="KB46" s="95"/>
      <c r="KC46" s="96"/>
      <c r="KD46" s="94"/>
      <c r="KE46" s="97"/>
      <c r="KF46" s="93"/>
      <c r="KG46" s="94"/>
      <c r="KH46" s="95"/>
      <c r="KI46" s="96"/>
      <c r="KJ46" s="94"/>
      <c r="KK46" s="95"/>
      <c r="KL46" s="96"/>
      <c r="KM46" s="94"/>
      <c r="KN46" s="95"/>
      <c r="KO46" s="96"/>
      <c r="KP46" s="94"/>
      <c r="KQ46" s="95"/>
      <c r="KR46" s="96"/>
      <c r="KS46" s="94"/>
      <c r="KT46" s="95"/>
      <c r="KU46" s="96"/>
      <c r="KV46" s="94"/>
      <c r="KW46" s="95"/>
      <c r="KX46" s="96"/>
      <c r="KY46" s="94"/>
      <c r="KZ46" s="95"/>
      <c r="LA46" s="96"/>
      <c r="LB46" s="94"/>
      <c r="LC46" s="95"/>
      <c r="LD46" s="96"/>
      <c r="LE46" s="94"/>
      <c r="LF46" s="95"/>
      <c r="LG46" s="96"/>
      <c r="LH46" s="94"/>
      <c r="LI46" s="95"/>
      <c r="LJ46" s="96"/>
      <c r="LK46" s="94"/>
      <c r="LL46" s="95"/>
      <c r="LM46" s="96"/>
      <c r="LN46" s="94"/>
      <c r="LO46" s="95"/>
      <c r="LP46" s="96"/>
      <c r="LQ46" s="94"/>
      <c r="LR46" s="95"/>
      <c r="LS46" s="96"/>
      <c r="LT46" s="94"/>
      <c r="LU46" s="95"/>
      <c r="LV46" s="96"/>
      <c r="LW46" s="94"/>
      <c r="LX46" s="95"/>
      <c r="LY46" s="96"/>
      <c r="LZ46" s="94"/>
      <c r="MA46" s="95"/>
      <c r="MB46" s="96"/>
      <c r="MC46" s="94"/>
      <c r="MD46" s="95"/>
      <c r="ME46" s="96"/>
      <c r="MF46" s="94"/>
      <c r="MG46" s="95"/>
      <c r="MH46" s="96"/>
      <c r="MI46" s="94"/>
      <c r="MJ46" s="95"/>
      <c r="MK46" s="96"/>
      <c r="ML46" s="94"/>
      <c r="MM46" s="95"/>
      <c r="MN46" s="96"/>
      <c r="MO46" s="94"/>
      <c r="MP46" s="95"/>
      <c r="MQ46" s="96"/>
      <c r="MR46" s="94"/>
      <c r="MS46" s="95"/>
      <c r="MT46" s="96"/>
      <c r="MU46" s="94"/>
      <c r="MV46" s="95"/>
      <c r="MW46" s="96"/>
      <c r="MX46" s="94"/>
      <c r="MY46" s="95"/>
      <c r="MZ46" s="96"/>
      <c r="NA46" s="94"/>
      <c r="NB46" s="95"/>
      <c r="NC46" s="96"/>
      <c r="ND46" s="94"/>
      <c r="NE46" s="95"/>
      <c r="NF46" s="96"/>
      <c r="NG46" s="94"/>
      <c r="NH46" s="95"/>
      <c r="NI46" s="96"/>
      <c r="NJ46" s="94"/>
      <c r="NK46" s="95"/>
      <c r="NL46" s="96"/>
      <c r="NM46" s="94"/>
      <c r="NN46" s="95"/>
      <c r="NO46" s="96"/>
      <c r="NP46" s="94"/>
      <c r="NQ46" s="95"/>
      <c r="NR46" s="96"/>
      <c r="NS46" s="94"/>
      <c r="NT46" s="95"/>
      <c r="NU46" s="96"/>
      <c r="NV46" s="94"/>
      <c r="NW46" s="97"/>
    </row>
    <row r="47" spans="2:387" ht="19.5" customHeight="1" x14ac:dyDescent="0.25">
      <c r="B47" s="120" t="str">
        <f>Donnees!$C$42</f>
        <v>Rapport de projet</v>
      </c>
      <c r="C47" s="98">
        <v>78</v>
      </c>
      <c r="D47" s="88"/>
      <c r="E47" s="89"/>
      <c r="F47" s="90"/>
      <c r="G47" s="91"/>
      <c r="H47" s="89"/>
      <c r="I47" s="90"/>
      <c r="J47" s="91"/>
      <c r="K47" s="89"/>
      <c r="L47" s="90"/>
      <c r="M47" s="91"/>
      <c r="N47" s="89"/>
      <c r="O47" s="90"/>
      <c r="P47" s="91"/>
      <c r="Q47" s="89"/>
      <c r="R47" s="90"/>
      <c r="S47" s="91"/>
      <c r="T47" s="89"/>
      <c r="U47" s="90"/>
      <c r="V47" s="91"/>
      <c r="W47" s="89"/>
      <c r="X47" s="90"/>
      <c r="Y47" s="91"/>
      <c r="Z47" s="89"/>
      <c r="AA47" s="90"/>
      <c r="AB47" s="91"/>
      <c r="AC47" s="89"/>
      <c r="AD47" s="90"/>
      <c r="AE47" s="91"/>
      <c r="AF47" s="89"/>
      <c r="AG47" s="90"/>
      <c r="AH47" s="91"/>
      <c r="AI47" s="89"/>
      <c r="AJ47" s="90"/>
      <c r="AK47" s="91"/>
      <c r="AL47" s="89"/>
      <c r="AM47" s="90"/>
      <c r="AN47" s="91"/>
      <c r="AO47" s="89"/>
      <c r="AP47" s="90"/>
      <c r="AQ47" s="91"/>
      <c r="AR47" s="89"/>
      <c r="AS47" s="90"/>
      <c r="AT47" s="91"/>
      <c r="AU47" s="89"/>
      <c r="AV47" s="90"/>
      <c r="AW47" s="91"/>
      <c r="AX47" s="89"/>
      <c r="AY47" s="90"/>
      <c r="AZ47" s="91"/>
      <c r="BA47" s="89"/>
      <c r="BB47" s="90"/>
      <c r="BC47" s="91"/>
      <c r="BD47" s="89"/>
      <c r="BE47" s="90"/>
      <c r="BF47" s="91"/>
      <c r="BG47" s="89"/>
      <c r="BH47" s="90"/>
      <c r="BI47" s="91"/>
      <c r="BJ47" s="89"/>
      <c r="BK47" s="90"/>
      <c r="BL47" s="91"/>
      <c r="BM47" s="89"/>
      <c r="BN47" s="90"/>
      <c r="BO47" s="91"/>
      <c r="BP47" s="89"/>
      <c r="BQ47" s="90"/>
      <c r="BR47" s="91"/>
      <c r="BS47" s="89"/>
      <c r="BT47" s="90"/>
      <c r="BU47" s="91"/>
      <c r="BV47" s="89"/>
      <c r="BW47" s="90"/>
      <c r="BX47" s="91"/>
      <c r="BY47" s="89"/>
      <c r="BZ47" s="90"/>
      <c r="CA47" s="109"/>
      <c r="CB47" s="107"/>
      <c r="CC47" s="108"/>
      <c r="CD47" s="109"/>
      <c r="CE47" s="107"/>
      <c r="CF47" s="108"/>
      <c r="CG47" s="109"/>
      <c r="CH47" s="107"/>
      <c r="CI47" s="108"/>
      <c r="CJ47" s="109"/>
      <c r="CK47" s="107"/>
      <c r="CL47" s="108"/>
      <c r="CM47" s="109"/>
      <c r="CN47" s="107"/>
      <c r="CO47" s="108"/>
      <c r="CP47" s="109"/>
      <c r="CQ47" s="107"/>
      <c r="CR47" s="108"/>
      <c r="CS47" s="91"/>
      <c r="CT47" s="89"/>
      <c r="CU47" s="92"/>
      <c r="CV47" s="88"/>
      <c r="CW47" s="89"/>
      <c r="CX47" s="90"/>
      <c r="CY47" s="91"/>
      <c r="CZ47" s="89"/>
      <c r="DA47" s="90"/>
      <c r="DB47" s="91"/>
      <c r="DC47" s="89"/>
      <c r="DD47" s="90"/>
      <c r="DE47" s="91"/>
      <c r="DF47" s="89"/>
      <c r="DG47" s="90"/>
      <c r="DH47" s="91"/>
      <c r="DI47" s="89"/>
      <c r="DJ47" s="90"/>
      <c r="DK47" s="91"/>
      <c r="DL47" s="89"/>
      <c r="DM47" s="90"/>
      <c r="DN47" s="91"/>
      <c r="DO47" s="89"/>
      <c r="DP47" s="90"/>
      <c r="DQ47" s="91"/>
      <c r="DR47" s="89"/>
      <c r="DS47" s="90"/>
      <c r="DT47" s="91"/>
      <c r="DU47" s="89"/>
      <c r="DV47" s="90"/>
      <c r="DW47" s="91"/>
      <c r="DX47" s="89"/>
      <c r="DY47" s="90"/>
      <c r="DZ47" s="91"/>
      <c r="EA47" s="89"/>
      <c r="EB47" s="90"/>
      <c r="EC47" s="91"/>
      <c r="ED47" s="89"/>
      <c r="EE47" s="90"/>
      <c r="EF47" s="91"/>
      <c r="EG47" s="89"/>
      <c r="EH47" s="90"/>
      <c r="EI47" s="91"/>
      <c r="EJ47" s="89"/>
      <c r="EK47" s="90"/>
      <c r="EL47" s="91"/>
      <c r="EM47" s="89"/>
      <c r="EN47" s="90"/>
      <c r="EO47" s="91"/>
      <c r="EP47" s="89"/>
      <c r="EQ47" s="90"/>
      <c r="ER47" s="91"/>
      <c r="ES47" s="89"/>
      <c r="ET47" s="90"/>
      <c r="EU47" s="91"/>
      <c r="EV47" s="89"/>
      <c r="EW47" s="90"/>
      <c r="EX47" s="91"/>
      <c r="EY47" s="89"/>
      <c r="EZ47" s="90"/>
      <c r="FA47" s="91"/>
      <c r="FB47" s="89"/>
      <c r="FC47" s="90"/>
      <c r="FD47" s="91"/>
      <c r="FE47" s="89"/>
      <c r="FF47" s="90"/>
      <c r="FG47" s="91"/>
      <c r="FH47" s="89"/>
      <c r="FI47" s="90"/>
      <c r="FJ47" s="91"/>
      <c r="FK47" s="89"/>
      <c r="FL47" s="90"/>
      <c r="FM47" s="91"/>
      <c r="FN47" s="89"/>
      <c r="FO47" s="90"/>
      <c r="FP47" s="91"/>
      <c r="FQ47" s="89"/>
      <c r="FR47" s="90"/>
      <c r="FS47" s="91"/>
      <c r="FT47" s="89"/>
      <c r="FU47" s="90"/>
      <c r="FV47" s="109"/>
      <c r="FW47" s="107"/>
      <c r="FX47" s="108"/>
      <c r="FY47" s="109"/>
      <c r="FZ47" s="107"/>
      <c r="GA47" s="108"/>
      <c r="GB47" s="109"/>
      <c r="GC47" s="107"/>
      <c r="GD47" s="108"/>
      <c r="GE47" s="109"/>
      <c r="GF47" s="107"/>
      <c r="GG47" s="108"/>
      <c r="GH47" s="109"/>
      <c r="GI47" s="107"/>
      <c r="GJ47" s="108"/>
      <c r="GK47" s="91"/>
      <c r="GL47" s="89"/>
      <c r="GM47" s="92"/>
      <c r="GN47" s="88"/>
      <c r="GO47" s="89"/>
      <c r="GP47" s="90"/>
      <c r="GQ47" s="91"/>
      <c r="GR47" s="89"/>
      <c r="GS47" s="90"/>
      <c r="GT47" s="91"/>
      <c r="GU47" s="89"/>
      <c r="GV47" s="90"/>
      <c r="GW47" s="91"/>
      <c r="GX47" s="89"/>
      <c r="GY47" s="90"/>
      <c r="GZ47" s="91"/>
      <c r="HA47" s="89"/>
      <c r="HB47" s="90"/>
      <c r="HC47" s="91"/>
      <c r="HD47" s="89"/>
      <c r="HE47" s="90"/>
      <c r="HF47" s="91"/>
      <c r="HG47" s="89"/>
      <c r="HH47" s="90"/>
      <c r="HI47" s="91"/>
      <c r="HJ47" s="89"/>
      <c r="HK47" s="90"/>
      <c r="HL47" s="91"/>
      <c r="HM47" s="89"/>
      <c r="HN47" s="90"/>
      <c r="HO47" s="91"/>
      <c r="HP47" s="89"/>
      <c r="HQ47" s="90"/>
      <c r="HR47" s="91"/>
      <c r="HS47" s="89"/>
      <c r="HT47" s="90"/>
      <c r="HU47" s="91"/>
      <c r="HV47" s="89"/>
      <c r="HW47" s="90"/>
      <c r="HX47" s="109"/>
      <c r="HY47" s="107"/>
      <c r="HZ47" s="108"/>
      <c r="IA47" s="109"/>
      <c r="IB47" s="107"/>
      <c r="IC47" s="108"/>
      <c r="ID47" s="109"/>
      <c r="IE47" s="107"/>
      <c r="IF47" s="108"/>
      <c r="IG47" s="91"/>
      <c r="IH47" s="89"/>
      <c r="II47" s="90"/>
      <c r="IJ47" s="91"/>
      <c r="IK47" s="89"/>
      <c r="IL47" s="90"/>
      <c r="IM47" s="91"/>
      <c r="IN47" s="89"/>
      <c r="IO47" s="90"/>
      <c r="IP47" s="91"/>
      <c r="IQ47" s="89"/>
      <c r="IR47" s="90"/>
      <c r="IS47" s="91"/>
      <c r="IT47" s="89"/>
      <c r="IU47" s="90"/>
      <c r="IV47" s="91"/>
      <c r="IW47" s="89"/>
      <c r="IX47" s="90"/>
      <c r="IY47" s="91"/>
      <c r="IZ47" s="89"/>
      <c r="JA47" s="90"/>
      <c r="JB47" s="91"/>
      <c r="JC47" s="89"/>
      <c r="JD47" s="90"/>
      <c r="JE47" s="91"/>
      <c r="JF47" s="89"/>
      <c r="JG47" s="90"/>
      <c r="JH47" s="91"/>
      <c r="JI47" s="89"/>
      <c r="JJ47" s="90"/>
      <c r="JK47" s="91"/>
      <c r="JL47" s="89"/>
      <c r="JM47" s="90"/>
      <c r="JN47" s="91"/>
      <c r="JO47" s="89"/>
      <c r="JP47" s="90"/>
      <c r="JQ47" s="109"/>
      <c r="JR47" s="107"/>
      <c r="JS47" s="108"/>
      <c r="JT47" s="109"/>
      <c r="JU47" s="107"/>
      <c r="JV47" s="108"/>
      <c r="JW47" s="109"/>
      <c r="JX47" s="107"/>
      <c r="JY47" s="108"/>
      <c r="JZ47" s="109"/>
      <c r="KA47" s="107"/>
      <c r="KB47" s="108"/>
      <c r="KC47" s="91"/>
      <c r="KD47" s="89"/>
      <c r="KE47" s="92"/>
      <c r="KF47" s="88"/>
      <c r="KG47" s="89"/>
      <c r="KH47" s="90"/>
      <c r="KI47" s="91"/>
      <c r="KJ47" s="89"/>
      <c r="KK47" s="90"/>
      <c r="KL47" s="91"/>
      <c r="KM47" s="89"/>
      <c r="KN47" s="90"/>
      <c r="KO47" s="91"/>
      <c r="KP47" s="89"/>
      <c r="KQ47" s="90"/>
      <c r="KR47" s="91"/>
      <c r="KS47" s="89"/>
      <c r="KT47" s="90"/>
      <c r="KU47" s="91"/>
      <c r="KV47" s="89"/>
      <c r="KW47" s="90"/>
      <c r="KX47" s="91"/>
      <c r="KY47" s="89"/>
      <c r="KZ47" s="90"/>
      <c r="LA47" s="91"/>
      <c r="LB47" s="89"/>
      <c r="LC47" s="90"/>
      <c r="LD47" s="91"/>
      <c r="LE47" s="89"/>
      <c r="LF47" s="90"/>
      <c r="LG47" s="91"/>
      <c r="LH47" s="89"/>
      <c r="LI47" s="90"/>
      <c r="LJ47" s="109"/>
      <c r="LK47" s="107"/>
      <c r="LL47" s="108"/>
      <c r="LM47" s="109"/>
      <c r="LN47" s="107"/>
      <c r="LO47" s="108"/>
      <c r="LP47" s="109"/>
      <c r="LQ47" s="107"/>
      <c r="LR47" s="108"/>
      <c r="LS47" s="109"/>
      <c r="LT47" s="107"/>
      <c r="LU47" s="108"/>
      <c r="LV47" s="109"/>
      <c r="LW47" s="107"/>
      <c r="LX47" s="108"/>
      <c r="LY47" s="109"/>
      <c r="LZ47" s="107"/>
      <c r="MA47" s="108"/>
      <c r="MB47" s="109"/>
      <c r="MC47" s="107"/>
      <c r="MD47" s="108"/>
      <c r="ME47" s="109"/>
      <c r="MF47" s="107"/>
      <c r="MG47" s="108"/>
      <c r="MH47" s="91"/>
      <c r="MI47" s="89"/>
      <c r="MJ47" s="90"/>
      <c r="MK47" s="91"/>
      <c r="ML47" s="89"/>
      <c r="MM47" s="90"/>
      <c r="MN47" s="91"/>
      <c r="MO47" s="89"/>
      <c r="MP47" s="90"/>
      <c r="MQ47" s="91"/>
      <c r="MR47" s="89"/>
      <c r="MS47" s="90"/>
      <c r="MT47" s="91"/>
      <c r="MU47" s="89"/>
      <c r="MV47" s="90"/>
      <c r="MW47" s="91"/>
      <c r="MX47" s="89"/>
      <c r="MY47" s="90"/>
      <c r="MZ47" s="91"/>
      <c r="NA47" s="89"/>
      <c r="NB47" s="90"/>
      <c r="NC47" s="91"/>
      <c r="ND47" s="89"/>
      <c r="NE47" s="90"/>
      <c r="NF47" s="91"/>
      <c r="NG47" s="89"/>
      <c r="NH47" s="90"/>
      <c r="NI47" s="91"/>
      <c r="NJ47" s="89"/>
      <c r="NK47" s="90"/>
      <c r="NL47" s="91"/>
      <c r="NM47" s="89"/>
      <c r="NN47" s="90"/>
      <c r="NO47" s="91"/>
      <c r="NP47" s="89"/>
      <c r="NQ47" s="90"/>
      <c r="NR47" s="91"/>
      <c r="NS47" s="89"/>
      <c r="NT47" s="90"/>
      <c r="NU47" s="91"/>
      <c r="NV47" s="89"/>
      <c r="NW47" s="92"/>
    </row>
    <row r="48" spans="2:387" ht="19.5" customHeight="1" thickBot="1" x14ac:dyDescent="0.3">
      <c r="B48" s="121"/>
      <c r="C48" s="99">
        <v>106</v>
      </c>
      <c r="D48" s="93"/>
      <c r="E48" s="94"/>
      <c r="F48" s="95"/>
      <c r="G48" s="96"/>
      <c r="H48" s="94"/>
      <c r="I48" s="95"/>
      <c r="J48" s="96"/>
      <c r="K48" s="94"/>
      <c r="L48" s="95"/>
      <c r="M48" s="96"/>
      <c r="N48" s="94"/>
      <c r="O48" s="95"/>
      <c r="P48" s="96"/>
      <c r="Q48" s="94"/>
      <c r="R48" s="95"/>
      <c r="S48" s="96"/>
      <c r="T48" s="94"/>
      <c r="U48" s="95"/>
      <c r="V48" s="96"/>
      <c r="W48" s="94"/>
      <c r="X48" s="95"/>
      <c r="Y48" s="96"/>
      <c r="Z48" s="94"/>
      <c r="AA48" s="95"/>
      <c r="AB48" s="96"/>
      <c r="AC48" s="94"/>
      <c r="AD48" s="95"/>
      <c r="AE48" s="96"/>
      <c r="AF48" s="94"/>
      <c r="AG48" s="95"/>
      <c r="AH48" s="96"/>
      <c r="AI48" s="94"/>
      <c r="AJ48" s="95"/>
      <c r="AK48" s="96"/>
      <c r="AL48" s="94"/>
      <c r="AM48" s="95"/>
      <c r="AN48" s="96"/>
      <c r="AO48" s="94"/>
      <c r="AP48" s="95"/>
      <c r="AQ48" s="96"/>
      <c r="AR48" s="94"/>
      <c r="AS48" s="95"/>
      <c r="AT48" s="96"/>
      <c r="AU48" s="94"/>
      <c r="AV48" s="95"/>
      <c r="AW48" s="96"/>
      <c r="AX48" s="94"/>
      <c r="AY48" s="95"/>
      <c r="AZ48" s="96"/>
      <c r="BA48" s="94"/>
      <c r="BB48" s="95"/>
      <c r="BC48" s="96"/>
      <c r="BD48" s="94"/>
      <c r="BE48" s="95"/>
      <c r="BF48" s="96"/>
      <c r="BG48" s="94"/>
      <c r="BH48" s="95"/>
      <c r="BI48" s="96"/>
      <c r="BJ48" s="94"/>
      <c r="BK48" s="95"/>
      <c r="BL48" s="96"/>
      <c r="BM48" s="94"/>
      <c r="BN48" s="95"/>
      <c r="BO48" s="131"/>
      <c r="BP48" s="129"/>
      <c r="BQ48" s="130"/>
      <c r="BR48" s="131"/>
      <c r="BS48" s="129"/>
      <c r="BT48" s="130"/>
      <c r="BU48" s="131"/>
      <c r="BV48" s="129"/>
      <c r="BW48" s="130"/>
      <c r="BX48" s="131"/>
      <c r="BY48" s="129"/>
      <c r="BZ48" s="130"/>
      <c r="CA48" s="131"/>
      <c r="CB48" s="129"/>
      <c r="CC48" s="130"/>
      <c r="CD48" s="131"/>
      <c r="CE48" s="129"/>
      <c r="CF48" s="130"/>
      <c r="CG48" s="131"/>
      <c r="CH48" s="129"/>
      <c r="CI48" s="130"/>
      <c r="CJ48" s="131"/>
      <c r="CK48" s="129"/>
      <c r="CL48" s="130"/>
      <c r="CM48" s="131"/>
      <c r="CN48" s="129"/>
      <c r="CO48" s="130"/>
      <c r="CP48" s="131"/>
      <c r="CQ48" s="129"/>
      <c r="CR48" s="130"/>
      <c r="CS48" s="96"/>
      <c r="CT48" s="94"/>
      <c r="CU48" s="97"/>
      <c r="CV48" s="93"/>
      <c r="CW48" s="94"/>
      <c r="CX48" s="95"/>
      <c r="CY48" s="96"/>
      <c r="CZ48" s="94"/>
      <c r="DA48" s="95"/>
      <c r="DB48" s="96"/>
      <c r="DC48" s="94"/>
      <c r="DD48" s="95"/>
      <c r="DE48" s="96"/>
      <c r="DF48" s="94"/>
      <c r="DG48" s="95"/>
      <c r="DH48" s="96"/>
      <c r="DI48" s="94"/>
      <c r="DJ48" s="95"/>
      <c r="DK48" s="96"/>
      <c r="DL48" s="94"/>
      <c r="DM48" s="95"/>
      <c r="DN48" s="96"/>
      <c r="DO48" s="94"/>
      <c r="DP48" s="95"/>
      <c r="DQ48" s="96"/>
      <c r="DR48" s="94"/>
      <c r="DS48" s="95"/>
      <c r="DT48" s="96"/>
      <c r="DU48" s="94"/>
      <c r="DV48" s="95"/>
      <c r="DW48" s="96"/>
      <c r="DX48" s="94"/>
      <c r="DY48" s="95"/>
      <c r="DZ48" s="96"/>
      <c r="EA48" s="94"/>
      <c r="EB48" s="95"/>
      <c r="EC48" s="96"/>
      <c r="ED48" s="94"/>
      <c r="EE48" s="95"/>
      <c r="EF48" s="96"/>
      <c r="EG48" s="94"/>
      <c r="EH48" s="95"/>
      <c r="EI48" s="96"/>
      <c r="EJ48" s="94"/>
      <c r="EK48" s="95"/>
      <c r="EL48" s="96"/>
      <c r="EM48" s="94"/>
      <c r="EN48" s="95"/>
      <c r="EO48" s="96"/>
      <c r="EP48" s="94"/>
      <c r="EQ48" s="95"/>
      <c r="ER48" s="96"/>
      <c r="ES48" s="94"/>
      <c r="ET48" s="95"/>
      <c r="EU48" s="96"/>
      <c r="EV48" s="94"/>
      <c r="EW48" s="95"/>
      <c r="EX48" s="96"/>
      <c r="EY48" s="94"/>
      <c r="EZ48" s="95"/>
      <c r="FA48" s="96"/>
      <c r="FB48" s="94"/>
      <c r="FC48" s="95"/>
      <c r="FD48" s="96"/>
      <c r="FE48" s="94"/>
      <c r="FF48" s="95"/>
      <c r="FG48" s="96"/>
      <c r="FH48" s="94"/>
      <c r="FI48" s="95"/>
      <c r="FJ48" s="96"/>
      <c r="FK48" s="94"/>
      <c r="FL48" s="95"/>
      <c r="FM48" s="96"/>
      <c r="FN48" s="94"/>
      <c r="FO48" s="95"/>
      <c r="FP48" s="96"/>
      <c r="FQ48" s="94"/>
      <c r="FR48" s="95"/>
      <c r="FS48" s="96"/>
      <c r="FT48" s="129"/>
      <c r="FU48" s="130"/>
      <c r="FV48" s="131"/>
      <c r="FW48" s="129"/>
      <c r="FX48" s="130"/>
      <c r="FY48" s="131"/>
      <c r="FZ48" s="129"/>
      <c r="GA48" s="130"/>
      <c r="GB48" s="131"/>
      <c r="GC48" s="129"/>
      <c r="GD48" s="130"/>
      <c r="GE48" s="131"/>
      <c r="GF48" s="129"/>
      <c r="GG48" s="130"/>
      <c r="GH48" s="131"/>
      <c r="GI48" s="129"/>
      <c r="GJ48" s="130"/>
      <c r="GK48" s="96"/>
      <c r="GL48" s="94"/>
      <c r="GM48" s="97"/>
      <c r="GN48" s="93"/>
      <c r="GO48" s="94"/>
      <c r="GP48" s="95"/>
      <c r="GQ48" s="96"/>
      <c r="GR48" s="94"/>
      <c r="GS48" s="95"/>
      <c r="GT48" s="96"/>
      <c r="GU48" s="94"/>
      <c r="GV48" s="95"/>
      <c r="GW48" s="96"/>
      <c r="GX48" s="94"/>
      <c r="GY48" s="95"/>
      <c r="GZ48" s="96"/>
      <c r="HA48" s="94"/>
      <c r="HB48" s="95"/>
      <c r="HC48" s="96"/>
      <c r="HD48" s="94"/>
      <c r="HE48" s="95"/>
      <c r="HF48" s="96"/>
      <c r="HG48" s="94"/>
      <c r="HH48" s="95"/>
      <c r="HI48" s="96"/>
      <c r="HJ48" s="94"/>
      <c r="HK48" s="95"/>
      <c r="HL48" s="96"/>
      <c r="HM48" s="94"/>
      <c r="HN48" s="95"/>
      <c r="HO48" s="96"/>
      <c r="HP48" s="94"/>
      <c r="HQ48" s="95"/>
      <c r="HR48" s="96"/>
      <c r="HS48" s="94"/>
      <c r="HT48" s="95"/>
      <c r="HU48" s="96"/>
      <c r="HV48" s="94"/>
      <c r="HW48" s="95"/>
      <c r="HX48" s="96"/>
      <c r="HY48" s="94"/>
      <c r="HZ48" s="95"/>
      <c r="IA48" s="96"/>
      <c r="IB48" s="94"/>
      <c r="IC48" s="95"/>
      <c r="ID48" s="96"/>
      <c r="IE48" s="94"/>
      <c r="IF48" s="95"/>
      <c r="IG48" s="96"/>
      <c r="IH48" s="94"/>
      <c r="II48" s="95"/>
      <c r="IJ48" s="96"/>
      <c r="IK48" s="94"/>
      <c r="IL48" s="95"/>
      <c r="IM48" s="96"/>
      <c r="IN48" s="94"/>
      <c r="IO48" s="95"/>
      <c r="IP48" s="96"/>
      <c r="IQ48" s="94"/>
      <c r="IR48" s="95"/>
      <c r="IS48" s="96"/>
      <c r="IT48" s="94"/>
      <c r="IU48" s="95"/>
      <c r="IV48" s="96"/>
      <c r="IW48" s="94"/>
      <c r="IX48" s="95"/>
      <c r="IY48" s="96"/>
      <c r="IZ48" s="94"/>
      <c r="JA48" s="95"/>
      <c r="JB48" s="96"/>
      <c r="JC48" s="94"/>
      <c r="JD48" s="95"/>
      <c r="JE48" s="96"/>
      <c r="JF48" s="94"/>
      <c r="JG48" s="95"/>
      <c r="JH48" s="96"/>
      <c r="JI48" s="94"/>
      <c r="JJ48" s="95"/>
      <c r="JK48" s="96"/>
      <c r="JL48" s="94"/>
      <c r="JM48" s="95"/>
      <c r="JN48" s="96"/>
      <c r="JO48" s="94"/>
      <c r="JP48" s="95"/>
      <c r="JQ48" s="131"/>
      <c r="JR48" s="129"/>
      <c r="JS48" s="130"/>
      <c r="JT48" s="131"/>
      <c r="JU48" s="129"/>
      <c r="JV48" s="130"/>
      <c r="JW48" s="131"/>
      <c r="JX48" s="129"/>
      <c r="JY48" s="130"/>
      <c r="JZ48" s="131"/>
      <c r="KA48" s="129"/>
      <c r="KB48" s="130"/>
      <c r="KC48" s="96"/>
      <c r="KD48" s="94"/>
      <c r="KE48" s="97"/>
      <c r="KF48" s="93"/>
      <c r="KG48" s="94"/>
      <c r="KH48" s="95"/>
      <c r="KI48" s="96"/>
      <c r="KJ48" s="94"/>
      <c r="KK48" s="95"/>
      <c r="KL48" s="131"/>
      <c r="KM48" s="129"/>
      <c r="KN48" s="130"/>
      <c r="KO48" s="131"/>
      <c r="KP48" s="129"/>
      <c r="KQ48" s="130"/>
      <c r="KR48" s="131"/>
      <c r="KS48" s="129"/>
      <c r="KT48" s="130"/>
      <c r="KU48" s="131"/>
      <c r="KV48" s="129"/>
      <c r="KW48" s="130"/>
      <c r="KX48" s="131"/>
      <c r="KY48" s="129"/>
      <c r="KZ48" s="130"/>
      <c r="LA48" s="131"/>
      <c r="LB48" s="129"/>
      <c r="LC48" s="130"/>
      <c r="LD48" s="131"/>
      <c r="LE48" s="129"/>
      <c r="LF48" s="130"/>
      <c r="LG48" s="131"/>
      <c r="LH48" s="129"/>
      <c r="LI48" s="130"/>
      <c r="LJ48" s="131"/>
      <c r="LK48" s="129"/>
      <c r="LL48" s="130"/>
      <c r="LM48" s="131"/>
      <c r="LN48" s="129"/>
      <c r="LO48" s="130"/>
      <c r="LP48" s="131"/>
      <c r="LQ48" s="129"/>
      <c r="LR48" s="130"/>
      <c r="LS48" s="131"/>
      <c r="LT48" s="129"/>
      <c r="LU48" s="130"/>
      <c r="LV48" s="131"/>
      <c r="LW48" s="129"/>
      <c r="LX48" s="130"/>
      <c r="LY48" s="131"/>
      <c r="LZ48" s="129"/>
      <c r="MA48" s="130"/>
      <c r="MB48" s="131"/>
      <c r="MC48" s="129"/>
      <c r="MD48" s="130"/>
      <c r="ME48" s="131"/>
      <c r="MF48" s="129"/>
      <c r="MG48" s="95"/>
      <c r="MH48" s="96"/>
      <c r="MI48" s="94"/>
      <c r="MJ48" s="95"/>
      <c r="MK48" s="96"/>
      <c r="ML48" s="94"/>
      <c r="MM48" s="95"/>
      <c r="MN48" s="96"/>
      <c r="MO48" s="94"/>
      <c r="MP48" s="95"/>
      <c r="MQ48" s="96"/>
      <c r="MR48" s="94"/>
      <c r="MS48" s="95"/>
      <c r="MT48" s="96"/>
      <c r="MU48" s="94"/>
      <c r="MV48" s="95"/>
      <c r="MW48" s="96"/>
      <c r="MX48" s="94"/>
      <c r="MY48" s="95"/>
      <c r="MZ48" s="96"/>
      <c r="NA48" s="94"/>
      <c r="NB48" s="95"/>
      <c r="NC48" s="96"/>
      <c r="ND48" s="94"/>
      <c r="NE48" s="95"/>
      <c r="NF48" s="96"/>
      <c r="NG48" s="94"/>
      <c r="NH48" s="95"/>
      <c r="NI48" s="96"/>
      <c r="NJ48" s="94"/>
      <c r="NK48" s="95"/>
      <c r="NL48" s="96"/>
      <c r="NM48" s="94"/>
      <c r="NN48" s="95"/>
      <c r="NO48" s="96"/>
      <c r="NP48" s="94"/>
      <c r="NQ48" s="95"/>
      <c r="NR48" s="96"/>
      <c r="NS48" s="94"/>
      <c r="NT48" s="95"/>
      <c r="NU48" s="96"/>
      <c r="NV48" s="94"/>
      <c r="NW48" s="97"/>
    </row>
    <row r="49" spans="2:387" ht="19.5" customHeight="1" x14ac:dyDescent="0.25">
      <c r="B49" s="120" t="str">
        <f>Donnees!$C$43</f>
        <v>Documentation des tests</v>
      </c>
      <c r="C49" s="98">
        <v>39</v>
      </c>
      <c r="D49" s="88"/>
      <c r="E49" s="89"/>
      <c r="F49" s="90"/>
      <c r="G49" s="91"/>
      <c r="H49" s="89"/>
      <c r="I49" s="90"/>
      <c r="J49" s="91"/>
      <c r="K49" s="89"/>
      <c r="L49" s="90"/>
      <c r="M49" s="91"/>
      <c r="N49" s="89"/>
      <c r="O49" s="90"/>
      <c r="P49" s="91"/>
      <c r="Q49" s="89"/>
      <c r="R49" s="90"/>
      <c r="S49" s="91"/>
      <c r="T49" s="89"/>
      <c r="U49" s="90"/>
      <c r="V49" s="91"/>
      <c r="W49" s="89"/>
      <c r="X49" s="90"/>
      <c r="Y49" s="91"/>
      <c r="Z49" s="89"/>
      <c r="AA49" s="90"/>
      <c r="AB49" s="91"/>
      <c r="AC49" s="89"/>
      <c r="AD49" s="90"/>
      <c r="AE49" s="91"/>
      <c r="AF49" s="89"/>
      <c r="AG49" s="90"/>
      <c r="AH49" s="91"/>
      <c r="AI49" s="89"/>
      <c r="AJ49" s="90"/>
      <c r="AK49" s="91"/>
      <c r="AL49" s="89"/>
      <c r="AM49" s="90"/>
      <c r="AN49" s="91"/>
      <c r="AO49" s="89"/>
      <c r="AP49" s="90"/>
      <c r="AQ49" s="91"/>
      <c r="AR49" s="89"/>
      <c r="AS49" s="90"/>
      <c r="AT49" s="91"/>
      <c r="AU49" s="89"/>
      <c r="AV49" s="90"/>
      <c r="AW49" s="91"/>
      <c r="AX49" s="89"/>
      <c r="AY49" s="90"/>
      <c r="AZ49" s="91"/>
      <c r="BA49" s="89"/>
      <c r="BB49" s="90"/>
      <c r="BC49" s="91"/>
      <c r="BD49" s="89"/>
      <c r="BE49" s="90"/>
      <c r="BF49" s="91"/>
      <c r="BG49" s="89"/>
      <c r="BH49" s="90"/>
      <c r="BI49" s="91"/>
      <c r="BJ49" s="89"/>
      <c r="BK49" s="90"/>
      <c r="BL49" s="91"/>
      <c r="BM49" s="89"/>
      <c r="BN49" s="90"/>
      <c r="BO49" s="91"/>
      <c r="BP49" s="89"/>
      <c r="BQ49" s="90"/>
      <c r="BR49" s="91"/>
      <c r="BS49" s="89"/>
      <c r="BT49" s="90"/>
      <c r="BU49" s="91"/>
      <c r="BV49" s="89"/>
      <c r="BW49" s="90"/>
      <c r="BX49" s="91"/>
      <c r="BY49" s="89"/>
      <c r="BZ49" s="90"/>
      <c r="CA49" s="91"/>
      <c r="CB49" s="89"/>
      <c r="CC49" s="90"/>
      <c r="CD49" s="91"/>
      <c r="CE49" s="89"/>
      <c r="CF49" s="90"/>
      <c r="CG49" s="91"/>
      <c r="CH49" s="89"/>
      <c r="CI49" s="90"/>
      <c r="CJ49" s="91"/>
      <c r="CK49" s="89"/>
      <c r="CL49" s="90"/>
      <c r="CM49" s="91"/>
      <c r="CN49" s="89"/>
      <c r="CO49" s="90"/>
      <c r="CP49" s="91"/>
      <c r="CQ49" s="89"/>
      <c r="CR49" s="90"/>
      <c r="CS49" s="91"/>
      <c r="CT49" s="89"/>
      <c r="CU49" s="92"/>
      <c r="CV49" s="88"/>
      <c r="CW49" s="89"/>
      <c r="CX49" s="90"/>
      <c r="CY49" s="91"/>
      <c r="CZ49" s="89"/>
      <c r="DA49" s="90"/>
      <c r="DB49" s="91"/>
      <c r="DC49" s="89"/>
      <c r="DD49" s="90"/>
      <c r="DE49" s="91"/>
      <c r="DF49" s="89"/>
      <c r="DG49" s="90"/>
      <c r="DH49" s="91"/>
      <c r="DI49" s="89"/>
      <c r="DJ49" s="90"/>
      <c r="DK49" s="91"/>
      <c r="DL49" s="89"/>
      <c r="DM49" s="90"/>
      <c r="DN49" s="91"/>
      <c r="DO49" s="89"/>
      <c r="DP49" s="90"/>
      <c r="DQ49" s="91"/>
      <c r="DR49" s="89"/>
      <c r="DS49" s="90"/>
      <c r="DT49" s="91"/>
      <c r="DU49" s="89"/>
      <c r="DV49" s="90"/>
      <c r="DW49" s="91"/>
      <c r="DX49" s="89"/>
      <c r="DY49" s="90"/>
      <c r="DZ49" s="91"/>
      <c r="EA49" s="89"/>
      <c r="EB49" s="90"/>
      <c r="EC49" s="91"/>
      <c r="ED49" s="89"/>
      <c r="EE49" s="90"/>
      <c r="EF49" s="91"/>
      <c r="EG49" s="89"/>
      <c r="EH49" s="90"/>
      <c r="EI49" s="91"/>
      <c r="EJ49" s="89"/>
      <c r="EK49" s="90"/>
      <c r="EL49" s="91"/>
      <c r="EM49" s="89"/>
      <c r="EN49" s="90"/>
      <c r="EO49" s="91"/>
      <c r="EP49" s="89"/>
      <c r="EQ49" s="90"/>
      <c r="ER49" s="91"/>
      <c r="ES49" s="89"/>
      <c r="ET49" s="90"/>
      <c r="EU49" s="91"/>
      <c r="EV49" s="89"/>
      <c r="EW49" s="90"/>
      <c r="EX49" s="91"/>
      <c r="EY49" s="89"/>
      <c r="EZ49" s="90"/>
      <c r="FA49" s="91"/>
      <c r="FB49" s="89"/>
      <c r="FC49" s="90"/>
      <c r="FD49" s="91"/>
      <c r="FE49" s="89"/>
      <c r="FF49" s="90"/>
      <c r="FG49" s="91"/>
      <c r="FH49" s="89"/>
      <c r="FI49" s="90"/>
      <c r="FJ49" s="91"/>
      <c r="FK49" s="89"/>
      <c r="FL49" s="90"/>
      <c r="FM49" s="109"/>
      <c r="FN49" s="107"/>
      <c r="FO49" s="108"/>
      <c r="FP49" s="109"/>
      <c r="FQ49" s="107"/>
      <c r="FR49" s="108"/>
      <c r="FS49" s="109"/>
      <c r="FT49" s="107"/>
      <c r="FU49" s="108"/>
      <c r="FV49" s="91"/>
      <c r="FW49" s="89"/>
      <c r="FX49" s="90"/>
      <c r="FY49" s="91"/>
      <c r="FZ49" s="89"/>
      <c r="GA49" s="90"/>
      <c r="GB49" s="91"/>
      <c r="GC49" s="89"/>
      <c r="GD49" s="90"/>
      <c r="GE49" s="91"/>
      <c r="GF49" s="89"/>
      <c r="GG49" s="90"/>
      <c r="GH49" s="91"/>
      <c r="GI49" s="89"/>
      <c r="GJ49" s="90"/>
      <c r="GK49" s="91"/>
      <c r="GL49" s="89"/>
      <c r="GM49" s="92"/>
      <c r="GN49" s="88"/>
      <c r="GO49" s="89"/>
      <c r="GP49" s="90"/>
      <c r="GQ49" s="91"/>
      <c r="GR49" s="89"/>
      <c r="GS49" s="90"/>
      <c r="GT49" s="91"/>
      <c r="GU49" s="89"/>
      <c r="GV49" s="90"/>
      <c r="GW49" s="91"/>
      <c r="GX49" s="89"/>
      <c r="GY49" s="90"/>
      <c r="GZ49" s="91"/>
      <c r="HA49" s="89"/>
      <c r="HB49" s="90"/>
      <c r="HC49" s="91"/>
      <c r="HD49" s="89"/>
      <c r="HE49" s="90"/>
      <c r="HF49" s="91"/>
      <c r="HG49" s="89"/>
      <c r="HH49" s="90"/>
      <c r="HI49" s="91"/>
      <c r="HJ49" s="89"/>
      <c r="HK49" s="90"/>
      <c r="HL49" s="91"/>
      <c r="HM49" s="89"/>
      <c r="HN49" s="90"/>
      <c r="HO49" s="91"/>
      <c r="HP49" s="89"/>
      <c r="HQ49" s="90"/>
      <c r="HR49" s="109"/>
      <c r="HS49" s="107"/>
      <c r="HT49" s="108"/>
      <c r="HU49" s="109"/>
      <c r="HV49" s="107"/>
      <c r="HW49" s="108"/>
      <c r="HX49" s="91"/>
      <c r="HY49" s="89"/>
      <c r="HZ49" s="90"/>
      <c r="IA49" s="91"/>
      <c r="IB49" s="89"/>
      <c r="IC49" s="90"/>
      <c r="ID49" s="91"/>
      <c r="IE49" s="89"/>
      <c r="IF49" s="90"/>
      <c r="IG49" s="91"/>
      <c r="IH49" s="89"/>
      <c r="II49" s="90"/>
      <c r="IJ49" s="91"/>
      <c r="IK49" s="89"/>
      <c r="IL49" s="90"/>
      <c r="IM49" s="91"/>
      <c r="IN49" s="89"/>
      <c r="IO49" s="90"/>
      <c r="IP49" s="91"/>
      <c r="IQ49" s="89"/>
      <c r="IR49" s="90"/>
      <c r="IS49" s="91"/>
      <c r="IT49" s="89"/>
      <c r="IU49" s="90"/>
      <c r="IV49" s="91"/>
      <c r="IW49" s="89"/>
      <c r="IX49" s="90"/>
      <c r="IY49" s="91"/>
      <c r="IZ49" s="89"/>
      <c r="JA49" s="90"/>
      <c r="JB49" s="91"/>
      <c r="JC49" s="89"/>
      <c r="JD49" s="90"/>
      <c r="JE49" s="91"/>
      <c r="JF49" s="89"/>
      <c r="JG49" s="90"/>
      <c r="JH49" s="109"/>
      <c r="JI49" s="107"/>
      <c r="JJ49" s="108"/>
      <c r="JK49" s="109"/>
      <c r="JL49" s="107"/>
      <c r="JM49" s="108"/>
      <c r="JN49" s="109"/>
      <c r="JO49" s="107"/>
      <c r="JP49" s="108"/>
      <c r="JQ49" s="91"/>
      <c r="JR49" s="89"/>
      <c r="JS49" s="90"/>
      <c r="JT49" s="91"/>
      <c r="JU49" s="89"/>
      <c r="JV49" s="90"/>
      <c r="JW49" s="91"/>
      <c r="JX49" s="89"/>
      <c r="JY49" s="90"/>
      <c r="JZ49" s="91"/>
      <c r="KA49" s="89"/>
      <c r="KB49" s="90"/>
      <c r="KC49" s="91"/>
      <c r="KD49" s="89"/>
      <c r="KE49" s="92"/>
      <c r="KF49" s="88"/>
      <c r="KG49" s="89"/>
      <c r="KH49" s="90"/>
      <c r="KI49" s="91"/>
      <c r="KJ49" s="89"/>
      <c r="KK49" s="90"/>
      <c r="KL49" s="91"/>
      <c r="KM49" s="89"/>
      <c r="KN49" s="90"/>
      <c r="KO49" s="91"/>
      <c r="KP49" s="89"/>
      <c r="KQ49" s="90"/>
      <c r="KR49" s="91"/>
      <c r="KS49" s="89"/>
      <c r="KT49" s="90"/>
      <c r="KU49" s="109"/>
      <c r="KV49" s="107"/>
      <c r="KW49" s="108"/>
      <c r="KX49" s="109"/>
      <c r="KY49" s="107"/>
      <c r="KZ49" s="108"/>
      <c r="LA49" s="109"/>
      <c r="LB49" s="107"/>
      <c r="LC49" s="108"/>
      <c r="LD49" s="109"/>
      <c r="LE49" s="107"/>
      <c r="LF49" s="108"/>
      <c r="LG49" s="109"/>
      <c r="LH49" s="107"/>
      <c r="LI49" s="108"/>
      <c r="LJ49" s="91"/>
      <c r="LK49" s="89"/>
      <c r="LL49" s="90"/>
      <c r="LM49" s="91"/>
      <c r="LN49" s="89"/>
      <c r="LO49" s="90"/>
      <c r="LP49" s="91"/>
      <c r="LQ49" s="89"/>
      <c r="LR49" s="90"/>
      <c r="LS49" s="91"/>
      <c r="LT49" s="89"/>
      <c r="LU49" s="90"/>
      <c r="LV49" s="91"/>
      <c r="LW49" s="89"/>
      <c r="LX49" s="90"/>
      <c r="LY49" s="91"/>
      <c r="LZ49" s="89"/>
      <c r="MA49" s="90"/>
      <c r="MB49" s="91"/>
      <c r="MC49" s="89"/>
      <c r="MD49" s="90"/>
      <c r="ME49" s="91"/>
      <c r="MF49" s="89"/>
      <c r="MG49" s="90"/>
      <c r="MH49" s="91"/>
      <c r="MI49" s="89"/>
      <c r="MJ49" s="90"/>
      <c r="MK49" s="91"/>
      <c r="ML49" s="89"/>
      <c r="MM49" s="90"/>
      <c r="MN49" s="91"/>
      <c r="MO49" s="89"/>
      <c r="MP49" s="90"/>
      <c r="MQ49" s="91"/>
      <c r="MR49" s="89"/>
      <c r="MS49" s="90"/>
      <c r="MT49" s="91"/>
      <c r="MU49" s="89"/>
      <c r="MV49" s="90"/>
      <c r="MW49" s="91"/>
      <c r="MX49" s="89"/>
      <c r="MY49" s="90"/>
      <c r="MZ49" s="91"/>
      <c r="NA49" s="89"/>
      <c r="NB49" s="90"/>
      <c r="NC49" s="91"/>
      <c r="ND49" s="89"/>
      <c r="NE49" s="90"/>
      <c r="NF49" s="91"/>
      <c r="NG49" s="89"/>
      <c r="NH49" s="90"/>
      <c r="NI49" s="91"/>
      <c r="NJ49" s="89"/>
      <c r="NK49" s="90"/>
      <c r="NL49" s="91"/>
      <c r="NM49" s="89"/>
      <c r="NN49" s="90"/>
      <c r="NO49" s="91"/>
      <c r="NP49" s="89"/>
      <c r="NQ49" s="90"/>
      <c r="NR49" s="91"/>
      <c r="NS49" s="89"/>
      <c r="NT49" s="90"/>
      <c r="NU49" s="91"/>
      <c r="NV49" s="89"/>
      <c r="NW49" s="92"/>
    </row>
    <row r="50" spans="2:387" ht="19.5" customHeight="1" thickBot="1" x14ac:dyDescent="0.3">
      <c r="B50" s="121"/>
      <c r="C50" s="99">
        <v>40</v>
      </c>
      <c r="D50" s="93"/>
      <c r="E50" s="94"/>
      <c r="F50" s="95"/>
      <c r="G50" s="96"/>
      <c r="H50" s="94"/>
      <c r="I50" s="95"/>
      <c r="J50" s="96"/>
      <c r="K50" s="94"/>
      <c r="L50" s="95"/>
      <c r="M50" s="96"/>
      <c r="N50" s="94"/>
      <c r="O50" s="95"/>
      <c r="P50" s="96"/>
      <c r="Q50" s="94"/>
      <c r="R50" s="95"/>
      <c r="S50" s="96"/>
      <c r="T50" s="94"/>
      <c r="U50" s="95"/>
      <c r="V50" s="96"/>
      <c r="W50" s="94"/>
      <c r="X50" s="95"/>
      <c r="Y50" s="96"/>
      <c r="Z50" s="94"/>
      <c r="AA50" s="95"/>
      <c r="AB50" s="96"/>
      <c r="AC50" s="94"/>
      <c r="AD50" s="95"/>
      <c r="AE50" s="96"/>
      <c r="AF50" s="94"/>
      <c r="AG50" s="95"/>
      <c r="AH50" s="96"/>
      <c r="AI50" s="94"/>
      <c r="AJ50" s="95"/>
      <c r="AK50" s="96"/>
      <c r="AL50" s="94"/>
      <c r="AM50" s="95"/>
      <c r="AN50" s="96"/>
      <c r="AO50" s="94"/>
      <c r="AP50" s="95"/>
      <c r="AQ50" s="96"/>
      <c r="AR50" s="94"/>
      <c r="AS50" s="95"/>
      <c r="AT50" s="96"/>
      <c r="AU50" s="94"/>
      <c r="AV50" s="95"/>
      <c r="AW50" s="96"/>
      <c r="AX50" s="94"/>
      <c r="AY50" s="95"/>
      <c r="AZ50" s="96"/>
      <c r="BA50" s="94"/>
      <c r="BB50" s="95"/>
      <c r="BC50" s="96"/>
      <c r="BD50" s="94"/>
      <c r="BE50" s="95"/>
      <c r="BF50" s="96"/>
      <c r="BG50" s="94"/>
      <c r="BH50" s="95"/>
      <c r="BI50" s="96"/>
      <c r="BJ50" s="94"/>
      <c r="BK50" s="95"/>
      <c r="BL50" s="96"/>
      <c r="BM50" s="94"/>
      <c r="BN50" s="95"/>
      <c r="BO50" s="96"/>
      <c r="BP50" s="94"/>
      <c r="BQ50" s="95"/>
      <c r="BR50" s="96"/>
      <c r="BS50" s="94"/>
      <c r="BT50" s="95"/>
      <c r="BU50" s="96"/>
      <c r="BV50" s="94"/>
      <c r="BW50" s="95"/>
      <c r="BX50" s="96"/>
      <c r="BY50" s="94"/>
      <c r="BZ50" s="95"/>
      <c r="CA50" s="96"/>
      <c r="CB50" s="94"/>
      <c r="CC50" s="95"/>
      <c r="CD50" s="96"/>
      <c r="CE50" s="94"/>
      <c r="CF50" s="95"/>
      <c r="CG50" s="96"/>
      <c r="CH50" s="94"/>
      <c r="CI50" s="95"/>
      <c r="CJ50" s="96"/>
      <c r="CK50" s="94"/>
      <c r="CL50" s="95"/>
      <c r="CM50" s="96"/>
      <c r="CN50" s="94"/>
      <c r="CO50" s="95"/>
      <c r="CP50" s="96"/>
      <c r="CQ50" s="94"/>
      <c r="CR50" s="95"/>
      <c r="CS50" s="96"/>
      <c r="CT50" s="94"/>
      <c r="CU50" s="97"/>
      <c r="CV50" s="93"/>
      <c r="CW50" s="94"/>
      <c r="CX50" s="95"/>
      <c r="CY50" s="96"/>
      <c r="CZ50" s="94"/>
      <c r="DA50" s="95"/>
      <c r="DB50" s="96"/>
      <c r="DC50" s="94"/>
      <c r="DD50" s="95"/>
      <c r="DE50" s="96"/>
      <c r="DF50" s="94"/>
      <c r="DG50" s="95"/>
      <c r="DH50" s="96"/>
      <c r="DI50" s="94"/>
      <c r="DJ50" s="95"/>
      <c r="DK50" s="96"/>
      <c r="DL50" s="94"/>
      <c r="DM50" s="95"/>
      <c r="DN50" s="96"/>
      <c r="DO50" s="94"/>
      <c r="DP50" s="95"/>
      <c r="DQ50" s="96"/>
      <c r="DR50" s="94"/>
      <c r="DS50" s="95"/>
      <c r="DT50" s="96"/>
      <c r="DU50" s="94"/>
      <c r="DV50" s="95"/>
      <c r="DW50" s="96"/>
      <c r="DX50" s="94"/>
      <c r="DY50" s="95"/>
      <c r="DZ50" s="96"/>
      <c r="EA50" s="94"/>
      <c r="EB50" s="95"/>
      <c r="EC50" s="96"/>
      <c r="ED50" s="94"/>
      <c r="EE50" s="95"/>
      <c r="EF50" s="96"/>
      <c r="EG50" s="94"/>
      <c r="EH50" s="95"/>
      <c r="EI50" s="96"/>
      <c r="EJ50" s="94"/>
      <c r="EK50" s="95"/>
      <c r="EL50" s="96"/>
      <c r="EM50" s="94"/>
      <c r="EN50" s="95"/>
      <c r="EO50" s="96"/>
      <c r="EP50" s="94"/>
      <c r="EQ50" s="95"/>
      <c r="ER50" s="96"/>
      <c r="ES50" s="94"/>
      <c r="ET50" s="95"/>
      <c r="EU50" s="96"/>
      <c r="EV50" s="94"/>
      <c r="EW50" s="95"/>
      <c r="EX50" s="96"/>
      <c r="EY50" s="94"/>
      <c r="EZ50" s="95"/>
      <c r="FA50" s="96"/>
      <c r="FB50" s="129"/>
      <c r="FC50" s="130"/>
      <c r="FD50" s="131"/>
      <c r="FE50" s="129"/>
      <c r="FF50" s="130"/>
      <c r="FG50" s="131"/>
      <c r="FH50" s="129"/>
      <c r="FI50" s="130"/>
      <c r="FJ50" s="131"/>
      <c r="FK50" s="129"/>
      <c r="FL50" s="130"/>
      <c r="FM50" s="131"/>
      <c r="FN50" s="129"/>
      <c r="FO50" s="130"/>
      <c r="FP50" s="131"/>
      <c r="FQ50" s="129"/>
      <c r="FR50" s="130"/>
      <c r="FS50" s="131"/>
      <c r="FT50" s="94"/>
      <c r="FU50" s="95"/>
      <c r="FV50" s="96"/>
      <c r="FW50" s="94"/>
      <c r="FX50" s="95"/>
      <c r="FY50" s="96"/>
      <c r="FZ50" s="94"/>
      <c r="GA50" s="95"/>
      <c r="GB50" s="96"/>
      <c r="GC50" s="94"/>
      <c r="GD50" s="95"/>
      <c r="GE50" s="96"/>
      <c r="GF50" s="94"/>
      <c r="GG50" s="95"/>
      <c r="GH50" s="96"/>
      <c r="GI50" s="94"/>
      <c r="GJ50" s="95"/>
      <c r="GK50" s="96"/>
      <c r="GL50" s="94"/>
      <c r="GM50" s="97"/>
      <c r="GN50" s="93"/>
      <c r="GO50" s="94"/>
      <c r="GP50" s="95"/>
      <c r="GQ50" s="96"/>
      <c r="GR50" s="94"/>
      <c r="GS50" s="95"/>
      <c r="GT50" s="96"/>
      <c r="GU50" s="94"/>
      <c r="GV50" s="95"/>
      <c r="GW50" s="96"/>
      <c r="GX50" s="94"/>
      <c r="GY50" s="95"/>
      <c r="GZ50" s="96"/>
      <c r="HA50" s="94"/>
      <c r="HB50" s="95"/>
      <c r="HC50" s="96"/>
      <c r="HD50" s="94"/>
      <c r="HE50" s="95"/>
      <c r="HF50" s="96"/>
      <c r="HG50" s="94"/>
      <c r="HH50" s="95"/>
      <c r="HI50" s="96"/>
      <c r="HJ50" s="94"/>
      <c r="HK50" s="95"/>
      <c r="HL50" s="96"/>
      <c r="HM50" s="94"/>
      <c r="HN50" s="95"/>
      <c r="HO50" s="96"/>
      <c r="HP50" s="94"/>
      <c r="HQ50" s="95"/>
      <c r="HR50" s="96"/>
      <c r="HS50" s="94"/>
      <c r="HT50" s="95"/>
      <c r="HU50" s="96"/>
      <c r="HV50" s="94"/>
      <c r="HW50" s="95"/>
      <c r="HX50" s="96"/>
      <c r="HY50" s="94"/>
      <c r="HZ50" s="95"/>
      <c r="IA50" s="96"/>
      <c r="IB50" s="94"/>
      <c r="IC50" s="95"/>
      <c r="ID50" s="96"/>
      <c r="IE50" s="94"/>
      <c r="IF50" s="95"/>
      <c r="IG50" s="96"/>
      <c r="IH50" s="94"/>
      <c r="II50" s="95"/>
      <c r="IJ50" s="96"/>
      <c r="IK50" s="94"/>
      <c r="IL50" s="95"/>
      <c r="IM50" s="96"/>
      <c r="IN50" s="94"/>
      <c r="IO50" s="95"/>
      <c r="IP50" s="96"/>
      <c r="IQ50" s="94"/>
      <c r="IR50" s="95"/>
      <c r="IS50" s="96"/>
      <c r="IT50" s="94"/>
      <c r="IU50" s="95"/>
      <c r="IV50" s="96"/>
      <c r="IW50" s="94"/>
      <c r="IX50" s="95"/>
      <c r="IY50" s="96"/>
      <c r="IZ50" s="94"/>
      <c r="JA50" s="130"/>
      <c r="JB50" s="131"/>
      <c r="JC50" s="129"/>
      <c r="JD50" s="130"/>
      <c r="JE50" s="131"/>
      <c r="JF50" s="129"/>
      <c r="JG50" s="130"/>
      <c r="JH50" s="131"/>
      <c r="JI50" s="129"/>
      <c r="JJ50" s="130"/>
      <c r="JK50" s="131"/>
      <c r="JL50" s="129"/>
      <c r="JM50" s="130"/>
      <c r="JN50" s="131"/>
      <c r="JO50" s="129"/>
      <c r="JP50" s="130"/>
      <c r="JQ50" s="96"/>
      <c r="JR50" s="94"/>
      <c r="JS50" s="95"/>
      <c r="JT50" s="96"/>
      <c r="JU50" s="94"/>
      <c r="JV50" s="95"/>
      <c r="JW50" s="96"/>
      <c r="JX50" s="94"/>
      <c r="JY50" s="95"/>
      <c r="JZ50" s="96"/>
      <c r="KA50" s="94"/>
      <c r="KB50" s="95"/>
      <c r="KC50" s="96"/>
      <c r="KD50" s="94"/>
      <c r="KE50" s="97"/>
      <c r="KF50" s="128"/>
      <c r="KG50" s="129"/>
      <c r="KH50" s="130"/>
      <c r="KI50" s="131"/>
      <c r="KJ50" s="129"/>
      <c r="KK50" s="130"/>
      <c r="KL50" s="96"/>
      <c r="KM50" s="94"/>
      <c r="KN50" s="95"/>
      <c r="KO50" s="96"/>
      <c r="KP50" s="94"/>
      <c r="KQ50" s="95"/>
      <c r="KR50" s="96"/>
      <c r="KS50" s="94"/>
      <c r="KT50" s="95"/>
      <c r="KU50" s="96"/>
      <c r="KV50" s="94"/>
      <c r="KW50" s="95"/>
      <c r="KX50" s="96"/>
      <c r="KY50" s="94"/>
      <c r="KZ50" s="95"/>
      <c r="LA50" s="96"/>
      <c r="LB50" s="94"/>
      <c r="LC50" s="95"/>
      <c r="LD50" s="96"/>
      <c r="LE50" s="94"/>
      <c r="LF50" s="95"/>
      <c r="LG50" s="96"/>
      <c r="LH50" s="94"/>
      <c r="LI50" s="95"/>
      <c r="LJ50" s="96"/>
      <c r="LK50" s="94"/>
      <c r="LL50" s="95"/>
      <c r="LM50" s="96"/>
      <c r="LN50" s="94"/>
      <c r="LO50" s="95"/>
      <c r="LP50" s="96"/>
      <c r="LQ50" s="94"/>
      <c r="LR50" s="95"/>
      <c r="LS50" s="96"/>
      <c r="LT50" s="94"/>
      <c r="LU50" s="95"/>
      <c r="LV50" s="96"/>
      <c r="LW50" s="94"/>
      <c r="LX50" s="95"/>
      <c r="LY50" s="96"/>
      <c r="LZ50" s="94"/>
      <c r="MA50" s="95"/>
      <c r="MB50" s="96"/>
      <c r="MC50" s="94"/>
      <c r="MD50" s="95"/>
      <c r="ME50" s="96"/>
      <c r="MF50" s="94"/>
      <c r="MG50" s="95"/>
      <c r="MH50" s="96"/>
      <c r="MI50" s="94"/>
      <c r="MJ50" s="95"/>
      <c r="MK50" s="96"/>
      <c r="ML50" s="94"/>
      <c r="MM50" s="95"/>
      <c r="MN50" s="96"/>
      <c r="MO50" s="94"/>
      <c r="MP50" s="95"/>
      <c r="MQ50" s="96"/>
      <c r="MR50" s="94"/>
      <c r="MS50" s="95"/>
      <c r="MT50" s="96"/>
      <c r="MU50" s="94"/>
      <c r="MV50" s="95"/>
      <c r="MW50" s="96"/>
      <c r="MX50" s="94"/>
      <c r="MY50" s="95"/>
      <c r="MZ50" s="96"/>
      <c r="NA50" s="94"/>
      <c r="NB50" s="95"/>
      <c r="NC50" s="96"/>
      <c r="ND50" s="94"/>
      <c r="NE50" s="95"/>
      <c r="NF50" s="96"/>
      <c r="NG50" s="94"/>
      <c r="NH50" s="95"/>
      <c r="NI50" s="96"/>
      <c r="NJ50" s="94"/>
      <c r="NK50" s="95"/>
      <c r="NL50" s="96"/>
      <c r="NM50" s="94"/>
      <c r="NN50" s="95"/>
      <c r="NO50" s="96"/>
      <c r="NP50" s="94"/>
      <c r="NQ50" s="95"/>
      <c r="NR50" s="96"/>
      <c r="NS50" s="94"/>
      <c r="NT50" s="95"/>
      <c r="NU50" s="96"/>
      <c r="NV50" s="94"/>
      <c r="NW50" s="97"/>
    </row>
    <row r="51" spans="2:387" ht="19.5" customHeight="1" x14ac:dyDescent="0.25">
      <c r="B51" s="120" t="str">
        <f>Donnees!$C$44</f>
        <v>Journal de travail</v>
      </c>
      <c r="C51" s="98">
        <v>10</v>
      </c>
      <c r="D51" s="88"/>
      <c r="E51" s="89"/>
      <c r="F51" s="90"/>
      <c r="G51" s="91"/>
      <c r="H51" s="89"/>
      <c r="I51" s="90"/>
      <c r="J51" s="91"/>
      <c r="K51" s="89"/>
      <c r="L51" s="90"/>
      <c r="M51" s="91"/>
      <c r="N51" s="89"/>
      <c r="O51" s="90"/>
      <c r="P51" s="91"/>
      <c r="Q51" s="89"/>
      <c r="R51" s="90"/>
      <c r="S51" s="91"/>
      <c r="T51" s="89"/>
      <c r="U51" s="90"/>
      <c r="V51" s="91"/>
      <c r="W51" s="89"/>
      <c r="X51" s="90"/>
      <c r="Y51" s="91"/>
      <c r="Z51" s="89"/>
      <c r="AA51" s="90"/>
      <c r="AB51" s="91"/>
      <c r="AC51" s="89"/>
      <c r="AD51" s="90"/>
      <c r="AE51" s="91"/>
      <c r="AF51" s="89"/>
      <c r="AG51" s="90"/>
      <c r="AH51" s="91"/>
      <c r="AI51" s="89"/>
      <c r="AJ51" s="90"/>
      <c r="AK51" s="91"/>
      <c r="AL51" s="89"/>
      <c r="AM51" s="90"/>
      <c r="AN51" s="91"/>
      <c r="AO51" s="89"/>
      <c r="AP51" s="90"/>
      <c r="AQ51" s="91"/>
      <c r="AR51" s="89"/>
      <c r="AS51" s="90"/>
      <c r="AT51" s="91"/>
      <c r="AU51" s="89"/>
      <c r="AV51" s="90"/>
      <c r="AW51" s="91"/>
      <c r="AX51" s="89"/>
      <c r="AY51" s="90"/>
      <c r="AZ51" s="91"/>
      <c r="BA51" s="89"/>
      <c r="BB51" s="90"/>
      <c r="BC51" s="91"/>
      <c r="BD51" s="89"/>
      <c r="BE51" s="90"/>
      <c r="BF51" s="91"/>
      <c r="BG51" s="89"/>
      <c r="BH51" s="90"/>
      <c r="BI51" s="91"/>
      <c r="BJ51" s="89"/>
      <c r="BK51" s="90"/>
      <c r="BL51" s="91"/>
      <c r="BM51" s="89"/>
      <c r="BN51" s="90"/>
      <c r="BO51" s="91"/>
      <c r="BP51" s="89"/>
      <c r="BQ51" s="90"/>
      <c r="BR51" s="91"/>
      <c r="BS51" s="89"/>
      <c r="BT51" s="90"/>
      <c r="BU51" s="91"/>
      <c r="BV51" s="89"/>
      <c r="BW51" s="90"/>
      <c r="BX51" s="91"/>
      <c r="BY51" s="89"/>
      <c r="BZ51" s="90"/>
      <c r="CA51" s="91"/>
      <c r="CB51" s="89"/>
      <c r="CC51" s="90"/>
      <c r="CD51" s="91"/>
      <c r="CE51" s="89"/>
      <c r="CF51" s="90"/>
      <c r="CG51" s="91"/>
      <c r="CH51" s="89"/>
      <c r="CI51" s="90"/>
      <c r="CJ51" s="91"/>
      <c r="CK51" s="89"/>
      <c r="CL51" s="90"/>
      <c r="CM51" s="91"/>
      <c r="CN51" s="89"/>
      <c r="CO51" s="90"/>
      <c r="CP51" s="91"/>
      <c r="CQ51" s="89"/>
      <c r="CR51" s="90"/>
      <c r="CS51" s="109"/>
      <c r="CT51" s="107"/>
      <c r="CU51" s="110"/>
      <c r="CV51" s="88"/>
      <c r="CW51" s="89"/>
      <c r="CX51" s="90"/>
      <c r="CY51" s="91"/>
      <c r="CZ51" s="89"/>
      <c r="DA51" s="90"/>
      <c r="DB51" s="91"/>
      <c r="DC51" s="89"/>
      <c r="DD51" s="90"/>
      <c r="DE51" s="91"/>
      <c r="DF51" s="89"/>
      <c r="DG51" s="90"/>
      <c r="DH51" s="91"/>
      <c r="DI51" s="89"/>
      <c r="DJ51" s="90"/>
      <c r="DK51" s="91"/>
      <c r="DL51" s="89"/>
      <c r="DM51" s="90"/>
      <c r="DN51" s="91"/>
      <c r="DO51" s="89"/>
      <c r="DP51" s="90"/>
      <c r="DQ51" s="91"/>
      <c r="DR51" s="89"/>
      <c r="DS51" s="90"/>
      <c r="DT51" s="91"/>
      <c r="DU51" s="89"/>
      <c r="DV51" s="90"/>
      <c r="DW51" s="91"/>
      <c r="DX51" s="89"/>
      <c r="DY51" s="90"/>
      <c r="DZ51" s="91"/>
      <c r="EA51" s="89"/>
      <c r="EB51" s="90"/>
      <c r="EC51" s="91"/>
      <c r="ED51" s="89"/>
      <c r="EE51" s="90"/>
      <c r="EF51" s="91"/>
      <c r="EG51" s="89"/>
      <c r="EH51" s="90"/>
      <c r="EI51" s="91"/>
      <c r="EJ51" s="89"/>
      <c r="EK51" s="90"/>
      <c r="EL51" s="91"/>
      <c r="EM51" s="89"/>
      <c r="EN51" s="90"/>
      <c r="EO51" s="91"/>
      <c r="EP51" s="89"/>
      <c r="EQ51" s="90"/>
      <c r="ER51" s="91"/>
      <c r="ES51" s="89"/>
      <c r="ET51" s="90"/>
      <c r="EU51" s="91"/>
      <c r="EV51" s="89"/>
      <c r="EW51" s="90"/>
      <c r="EX51" s="91"/>
      <c r="EY51" s="89"/>
      <c r="EZ51" s="90"/>
      <c r="FA51" s="91"/>
      <c r="FB51" s="89"/>
      <c r="FC51" s="90"/>
      <c r="FD51" s="91"/>
      <c r="FE51" s="89"/>
      <c r="FF51" s="90"/>
      <c r="FG51" s="91"/>
      <c r="FH51" s="89"/>
      <c r="FI51" s="90"/>
      <c r="FJ51" s="91"/>
      <c r="FK51" s="89"/>
      <c r="FL51" s="90"/>
      <c r="FM51" s="91"/>
      <c r="FN51" s="89"/>
      <c r="FO51" s="90"/>
      <c r="FP51" s="91"/>
      <c r="FQ51" s="89"/>
      <c r="FR51" s="90"/>
      <c r="FS51" s="91"/>
      <c r="FT51" s="89"/>
      <c r="FU51" s="90"/>
      <c r="FV51" s="91"/>
      <c r="FW51" s="89"/>
      <c r="FX51" s="90"/>
      <c r="FY51" s="91"/>
      <c r="FZ51" s="89"/>
      <c r="GA51" s="90"/>
      <c r="GB51" s="91"/>
      <c r="GC51" s="89"/>
      <c r="GD51" s="90"/>
      <c r="GE51" s="91"/>
      <c r="GF51" s="89"/>
      <c r="GG51" s="90"/>
      <c r="GH51" s="91"/>
      <c r="GI51" s="89"/>
      <c r="GJ51" s="90"/>
      <c r="GK51" s="109"/>
      <c r="GL51" s="107"/>
      <c r="GM51" s="110"/>
      <c r="GN51" s="88"/>
      <c r="GO51" s="89"/>
      <c r="GP51" s="90"/>
      <c r="GQ51" s="91"/>
      <c r="GR51" s="89"/>
      <c r="GS51" s="90"/>
      <c r="GT51" s="91"/>
      <c r="GU51" s="89"/>
      <c r="GV51" s="90"/>
      <c r="GW51" s="91"/>
      <c r="GX51" s="89"/>
      <c r="GY51" s="90"/>
      <c r="GZ51" s="91"/>
      <c r="HA51" s="89"/>
      <c r="HB51" s="90"/>
      <c r="HC51" s="91"/>
      <c r="HD51" s="89"/>
      <c r="HE51" s="90"/>
      <c r="HF51" s="91"/>
      <c r="HG51" s="89"/>
      <c r="HH51" s="90"/>
      <c r="HI51" s="91"/>
      <c r="HJ51" s="89"/>
      <c r="HK51" s="90"/>
      <c r="HL51" s="91"/>
      <c r="HM51" s="89"/>
      <c r="HN51" s="90"/>
      <c r="HO51" s="91"/>
      <c r="HP51" s="89"/>
      <c r="HQ51" s="90"/>
      <c r="HR51" s="91"/>
      <c r="HS51" s="89"/>
      <c r="HT51" s="90"/>
      <c r="HU51" s="91"/>
      <c r="HV51" s="89"/>
      <c r="HW51" s="90"/>
      <c r="HX51" s="91"/>
      <c r="HY51" s="89"/>
      <c r="HZ51" s="90"/>
      <c r="IA51" s="91"/>
      <c r="IB51" s="89"/>
      <c r="IC51" s="90"/>
      <c r="ID51" s="91"/>
      <c r="IE51" s="89"/>
      <c r="IF51" s="90"/>
      <c r="IG51" s="91"/>
      <c r="IH51" s="89"/>
      <c r="II51" s="90"/>
      <c r="IJ51" s="91"/>
      <c r="IK51" s="89"/>
      <c r="IL51" s="90"/>
      <c r="IM51" s="91"/>
      <c r="IN51" s="89"/>
      <c r="IO51" s="90"/>
      <c r="IP51" s="91"/>
      <c r="IQ51" s="89"/>
      <c r="IR51" s="90"/>
      <c r="IS51" s="91"/>
      <c r="IT51" s="89"/>
      <c r="IU51" s="90"/>
      <c r="IV51" s="91"/>
      <c r="IW51" s="89"/>
      <c r="IX51" s="90"/>
      <c r="IY51" s="91"/>
      <c r="IZ51" s="89"/>
      <c r="JA51" s="90"/>
      <c r="JB51" s="91"/>
      <c r="JC51" s="89"/>
      <c r="JD51" s="90"/>
      <c r="JE51" s="91"/>
      <c r="JF51" s="89"/>
      <c r="JG51" s="90"/>
      <c r="JH51" s="91"/>
      <c r="JI51" s="89"/>
      <c r="JJ51" s="90"/>
      <c r="JK51" s="91"/>
      <c r="JL51" s="89"/>
      <c r="JM51" s="90"/>
      <c r="JN51" s="91"/>
      <c r="JO51" s="89"/>
      <c r="JP51" s="90"/>
      <c r="JQ51" s="91"/>
      <c r="JR51" s="89"/>
      <c r="JS51" s="90"/>
      <c r="JT51" s="91"/>
      <c r="JU51" s="89"/>
      <c r="JV51" s="90"/>
      <c r="JW51" s="91"/>
      <c r="JX51" s="89"/>
      <c r="JY51" s="90"/>
      <c r="JZ51" s="91"/>
      <c r="KA51" s="89"/>
      <c r="KB51" s="90"/>
      <c r="KC51" s="109"/>
      <c r="KD51" s="107"/>
      <c r="KE51" s="110"/>
      <c r="KF51" s="88"/>
      <c r="KG51" s="89"/>
      <c r="KH51" s="90"/>
      <c r="KI51" s="91"/>
      <c r="KJ51" s="89"/>
      <c r="KK51" s="90"/>
      <c r="KL51" s="91"/>
      <c r="KM51" s="89"/>
      <c r="KN51" s="90"/>
      <c r="KO51" s="91"/>
      <c r="KP51" s="89"/>
      <c r="KQ51" s="90"/>
      <c r="KR51" s="91"/>
      <c r="KS51" s="89"/>
      <c r="KT51" s="90"/>
      <c r="KU51" s="91"/>
      <c r="KV51" s="89"/>
      <c r="KW51" s="90"/>
      <c r="KX51" s="91"/>
      <c r="KY51" s="89"/>
      <c r="KZ51" s="90"/>
      <c r="LA51" s="91"/>
      <c r="LB51" s="89"/>
      <c r="LC51" s="90"/>
      <c r="LD51" s="91"/>
      <c r="LE51" s="89"/>
      <c r="LF51" s="90"/>
      <c r="LG51" s="91"/>
      <c r="LH51" s="89"/>
      <c r="LI51" s="90"/>
      <c r="LJ51" s="91"/>
      <c r="LK51" s="89"/>
      <c r="LL51" s="90"/>
      <c r="LM51" s="91"/>
      <c r="LN51" s="89"/>
      <c r="LO51" s="90"/>
      <c r="LP51" s="91"/>
      <c r="LQ51" s="89"/>
      <c r="LR51" s="90"/>
      <c r="LS51" s="91"/>
      <c r="LT51" s="89"/>
      <c r="LU51" s="90"/>
      <c r="LV51" s="91"/>
      <c r="LW51" s="89"/>
      <c r="LX51" s="90"/>
      <c r="LY51" s="91"/>
      <c r="LZ51" s="89"/>
      <c r="MA51" s="90"/>
      <c r="MB51" s="91"/>
      <c r="MC51" s="89"/>
      <c r="MD51" s="90"/>
      <c r="ME51" s="91"/>
      <c r="MF51" s="89"/>
      <c r="MG51" s="90"/>
      <c r="MH51" s="109"/>
      <c r="MI51" s="89"/>
      <c r="MJ51" s="90"/>
      <c r="MK51" s="91"/>
      <c r="ML51" s="89"/>
      <c r="MM51" s="90"/>
      <c r="MN51" s="91"/>
      <c r="MO51" s="89"/>
      <c r="MP51" s="90"/>
      <c r="MQ51" s="91"/>
      <c r="MR51" s="89"/>
      <c r="MS51" s="90"/>
      <c r="MT51" s="91"/>
      <c r="MU51" s="89"/>
      <c r="MV51" s="90"/>
      <c r="MW51" s="91"/>
      <c r="MX51" s="89"/>
      <c r="MY51" s="90"/>
      <c r="MZ51" s="91"/>
      <c r="NA51" s="89"/>
      <c r="NB51" s="90"/>
      <c r="NC51" s="91"/>
      <c r="ND51" s="89"/>
      <c r="NE51" s="90"/>
      <c r="NF51" s="91"/>
      <c r="NG51" s="89"/>
      <c r="NH51" s="90"/>
      <c r="NI51" s="91"/>
      <c r="NJ51" s="89"/>
      <c r="NK51" s="90"/>
      <c r="NL51" s="91"/>
      <c r="NM51" s="89"/>
      <c r="NN51" s="90"/>
      <c r="NO51" s="91"/>
      <c r="NP51" s="89"/>
      <c r="NQ51" s="90"/>
      <c r="NR51" s="91"/>
      <c r="NS51" s="89"/>
      <c r="NT51" s="90"/>
      <c r="NU51" s="91"/>
      <c r="NV51" s="89"/>
      <c r="NW51" s="92"/>
    </row>
    <row r="52" spans="2:387" ht="19.5" customHeight="1" x14ac:dyDescent="0.25">
      <c r="B52" s="121"/>
      <c r="C52" s="99">
        <v>11</v>
      </c>
      <c r="D52" s="93"/>
      <c r="E52" s="94"/>
      <c r="F52" s="95"/>
      <c r="G52" s="96"/>
      <c r="H52" s="94"/>
      <c r="I52" s="95"/>
      <c r="J52" s="96"/>
      <c r="K52" s="94"/>
      <c r="L52" s="95"/>
      <c r="M52" s="96"/>
      <c r="N52" s="94"/>
      <c r="O52" s="95"/>
      <c r="P52" s="96"/>
      <c r="Q52" s="94"/>
      <c r="R52" s="95"/>
      <c r="S52" s="96"/>
      <c r="T52" s="94"/>
      <c r="U52" s="95"/>
      <c r="V52" s="96"/>
      <c r="W52" s="94"/>
      <c r="X52" s="95"/>
      <c r="Y52" s="96"/>
      <c r="Z52" s="94"/>
      <c r="AA52" s="95"/>
      <c r="AB52" s="96"/>
      <c r="AC52" s="94"/>
      <c r="AD52" s="95"/>
      <c r="AE52" s="96"/>
      <c r="AF52" s="94"/>
      <c r="AG52" s="95"/>
      <c r="AH52" s="96"/>
      <c r="AI52" s="94"/>
      <c r="AJ52" s="95"/>
      <c r="AK52" s="96"/>
      <c r="AL52" s="94"/>
      <c r="AM52" s="95"/>
      <c r="AN52" s="96"/>
      <c r="AO52" s="94"/>
      <c r="AP52" s="95"/>
      <c r="AQ52" s="96"/>
      <c r="AR52" s="94"/>
      <c r="AS52" s="95"/>
      <c r="AT52" s="96"/>
      <c r="AU52" s="94"/>
      <c r="AV52" s="95"/>
      <c r="AW52" s="96"/>
      <c r="AX52" s="94"/>
      <c r="AY52" s="95"/>
      <c r="AZ52" s="96"/>
      <c r="BA52" s="94"/>
      <c r="BB52" s="95"/>
      <c r="BC52" s="96"/>
      <c r="BD52" s="94"/>
      <c r="BE52" s="95"/>
      <c r="BF52" s="96"/>
      <c r="BG52" s="94"/>
      <c r="BH52" s="95"/>
      <c r="BI52" s="96"/>
      <c r="BJ52" s="94"/>
      <c r="BK52" s="95"/>
      <c r="BL52" s="96"/>
      <c r="BM52" s="94"/>
      <c r="BN52" s="95"/>
      <c r="BO52" s="96"/>
      <c r="BP52" s="94"/>
      <c r="BQ52" s="95"/>
      <c r="BR52" s="96"/>
      <c r="BS52" s="94"/>
      <c r="BT52" s="95"/>
      <c r="BU52" s="96"/>
      <c r="BV52" s="94"/>
      <c r="BW52" s="95"/>
      <c r="BX52" s="96"/>
      <c r="BY52" s="94"/>
      <c r="BZ52" s="95"/>
      <c r="CA52" s="96"/>
      <c r="CB52" s="94"/>
      <c r="CC52" s="95"/>
      <c r="CD52" s="96"/>
      <c r="CE52" s="94"/>
      <c r="CF52" s="95"/>
      <c r="CG52" s="96"/>
      <c r="CH52" s="94"/>
      <c r="CI52" s="95"/>
      <c r="CJ52" s="96"/>
      <c r="CK52" s="94"/>
      <c r="CL52" s="95"/>
      <c r="CM52" s="96"/>
      <c r="CN52" s="94"/>
      <c r="CO52" s="95"/>
      <c r="CP52" s="96"/>
      <c r="CQ52" s="94"/>
      <c r="CR52" s="95"/>
      <c r="CS52" s="131"/>
      <c r="CT52" s="129"/>
      <c r="CU52" s="132"/>
      <c r="CV52" s="93"/>
      <c r="CW52" s="94"/>
      <c r="CX52" s="95"/>
      <c r="CY52" s="96"/>
      <c r="CZ52" s="94"/>
      <c r="DA52" s="95"/>
      <c r="DB52" s="96"/>
      <c r="DC52" s="94"/>
      <c r="DD52" s="95"/>
      <c r="DE52" s="96"/>
      <c r="DF52" s="94"/>
      <c r="DG52" s="95"/>
      <c r="DH52" s="96"/>
      <c r="DI52" s="94"/>
      <c r="DJ52" s="95"/>
      <c r="DK52" s="96"/>
      <c r="DL52" s="94"/>
      <c r="DM52" s="95"/>
      <c r="DN52" s="96"/>
      <c r="DO52" s="94"/>
      <c r="DP52" s="95"/>
      <c r="DQ52" s="96"/>
      <c r="DR52" s="94"/>
      <c r="DS52" s="95"/>
      <c r="DT52" s="96"/>
      <c r="DU52" s="94"/>
      <c r="DV52" s="95"/>
      <c r="DW52" s="96"/>
      <c r="DX52" s="94"/>
      <c r="DY52" s="95"/>
      <c r="DZ52" s="96"/>
      <c r="EA52" s="94"/>
      <c r="EB52" s="95"/>
      <c r="EC52" s="96"/>
      <c r="ED52" s="94"/>
      <c r="EE52" s="95"/>
      <c r="EF52" s="96"/>
      <c r="EG52" s="94"/>
      <c r="EH52" s="95"/>
      <c r="EI52" s="96"/>
      <c r="EJ52" s="94"/>
      <c r="EK52" s="95"/>
      <c r="EL52" s="96"/>
      <c r="EM52" s="94"/>
      <c r="EN52" s="95"/>
      <c r="EO52" s="96"/>
      <c r="EP52" s="94"/>
      <c r="EQ52" s="95"/>
      <c r="ER52" s="96"/>
      <c r="ES52" s="94"/>
      <c r="ET52" s="95"/>
      <c r="EU52" s="96"/>
      <c r="EV52" s="94"/>
      <c r="EW52" s="95"/>
      <c r="EX52" s="96"/>
      <c r="EY52" s="94"/>
      <c r="EZ52" s="95"/>
      <c r="FA52" s="96"/>
      <c r="FB52" s="94"/>
      <c r="FC52" s="95"/>
      <c r="FD52" s="96"/>
      <c r="FE52" s="94"/>
      <c r="FF52" s="95"/>
      <c r="FG52" s="96"/>
      <c r="FH52" s="94"/>
      <c r="FI52" s="95"/>
      <c r="FJ52" s="96"/>
      <c r="FK52" s="94"/>
      <c r="FL52" s="95"/>
      <c r="FM52" s="96"/>
      <c r="FN52" s="94"/>
      <c r="FO52" s="95"/>
      <c r="FP52" s="96"/>
      <c r="FQ52" s="94"/>
      <c r="FR52" s="95"/>
      <c r="FS52" s="96"/>
      <c r="FT52" s="94"/>
      <c r="FU52" s="95"/>
      <c r="FV52" s="96"/>
      <c r="FW52" s="94"/>
      <c r="FX52" s="95"/>
      <c r="FY52" s="96"/>
      <c r="FZ52" s="94"/>
      <c r="GA52" s="95"/>
      <c r="GB52" s="96"/>
      <c r="GC52" s="94"/>
      <c r="GD52" s="95"/>
      <c r="GE52" s="96"/>
      <c r="GF52" s="94"/>
      <c r="GG52" s="95"/>
      <c r="GH52" s="96"/>
      <c r="GI52" s="94"/>
      <c r="GJ52" s="95"/>
      <c r="GK52" s="131"/>
      <c r="GL52" s="129"/>
      <c r="GM52" s="132"/>
      <c r="GN52" s="93"/>
      <c r="GO52" s="94"/>
      <c r="GP52" s="95"/>
      <c r="GQ52" s="96"/>
      <c r="GR52" s="94"/>
      <c r="GS52" s="95"/>
      <c r="GT52" s="96"/>
      <c r="GU52" s="94"/>
      <c r="GV52" s="95"/>
      <c r="GW52" s="96"/>
      <c r="GX52" s="94"/>
      <c r="GY52" s="95"/>
      <c r="GZ52" s="96"/>
      <c r="HA52" s="94"/>
      <c r="HB52" s="95"/>
      <c r="HC52" s="96"/>
      <c r="HD52" s="94"/>
      <c r="HE52" s="95"/>
      <c r="HF52" s="96"/>
      <c r="HG52" s="94"/>
      <c r="HH52" s="95"/>
      <c r="HI52" s="96"/>
      <c r="HJ52" s="94"/>
      <c r="HK52" s="95"/>
      <c r="HL52" s="96"/>
      <c r="HM52" s="94"/>
      <c r="HN52" s="95"/>
      <c r="HO52" s="96"/>
      <c r="HP52" s="94"/>
      <c r="HQ52" s="95"/>
      <c r="HR52" s="96"/>
      <c r="HS52" s="94"/>
      <c r="HT52" s="95"/>
      <c r="HU52" s="96"/>
      <c r="HV52" s="94"/>
      <c r="HW52" s="95"/>
      <c r="HX52" s="96"/>
      <c r="HY52" s="94"/>
      <c r="HZ52" s="95"/>
      <c r="IA52" s="96"/>
      <c r="IB52" s="94"/>
      <c r="IC52" s="95"/>
      <c r="ID52" s="96"/>
      <c r="IE52" s="94"/>
      <c r="IF52" s="95"/>
      <c r="IG52" s="96"/>
      <c r="IH52" s="94"/>
      <c r="II52" s="95"/>
      <c r="IJ52" s="96"/>
      <c r="IK52" s="94"/>
      <c r="IL52" s="95"/>
      <c r="IM52" s="96"/>
      <c r="IN52" s="94"/>
      <c r="IO52" s="95"/>
      <c r="IP52" s="96"/>
      <c r="IQ52" s="94"/>
      <c r="IR52" s="95"/>
      <c r="IS52" s="96"/>
      <c r="IT52" s="94"/>
      <c r="IU52" s="95"/>
      <c r="IV52" s="96"/>
      <c r="IW52" s="94"/>
      <c r="IX52" s="95"/>
      <c r="IY52" s="96"/>
      <c r="IZ52" s="94"/>
      <c r="JA52" s="95"/>
      <c r="JB52" s="96"/>
      <c r="JC52" s="94"/>
      <c r="JD52" s="95"/>
      <c r="JE52" s="96"/>
      <c r="JF52" s="94"/>
      <c r="JG52" s="95"/>
      <c r="JH52" s="96"/>
      <c r="JI52" s="94"/>
      <c r="JJ52" s="95"/>
      <c r="JK52" s="96"/>
      <c r="JL52" s="94"/>
      <c r="JM52" s="95"/>
      <c r="JN52" s="96"/>
      <c r="JO52" s="94"/>
      <c r="JP52" s="95"/>
      <c r="JQ52" s="96"/>
      <c r="JR52" s="94"/>
      <c r="JS52" s="95"/>
      <c r="JT52" s="96"/>
      <c r="JU52" s="94"/>
      <c r="JV52" s="95"/>
      <c r="JW52" s="96"/>
      <c r="JX52" s="94"/>
      <c r="JY52" s="95"/>
      <c r="JZ52" s="96"/>
      <c r="KA52" s="94"/>
      <c r="KB52" s="95"/>
      <c r="KC52" s="131"/>
      <c r="KD52" s="129"/>
      <c r="KE52" s="132"/>
      <c r="KF52" s="93"/>
      <c r="KG52" s="94"/>
      <c r="KH52" s="95"/>
      <c r="KI52" s="96"/>
      <c r="KJ52" s="94"/>
      <c r="KK52" s="95"/>
      <c r="KL52" s="96"/>
      <c r="KM52" s="94"/>
      <c r="KN52" s="95"/>
      <c r="KO52" s="96"/>
      <c r="KP52" s="94"/>
      <c r="KQ52" s="95"/>
      <c r="KR52" s="96"/>
      <c r="KS52" s="94"/>
      <c r="KT52" s="95"/>
      <c r="KU52" s="96"/>
      <c r="KV52" s="94"/>
      <c r="KW52" s="95"/>
      <c r="KX52" s="96"/>
      <c r="KY52" s="94"/>
      <c r="KZ52" s="95"/>
      <c r="LA52" s="96"/>
      <c r="LB52" s="94"/>
      <c r="LC52" s="95"/>
      <c r="LD52" s="96"/>
      <c r="LE52" s="94"/>
      <c r="LF52" s="95"/>
      <c r="LG52" s="96"/>
      <c r="LH52" s="94"/>
      <c r="LI52" s="95"/>
      <c r="LJ52" s="96"/>
      <c r="LK52" s="94"/>
      <c r="LL52" s="95"/>
      <c r="LM52" s="96"/>
      <c r="LN52" s="94"/>
      <c r="LO52" s="95"/>
      <c r="LP52" s="96"/>
      <c r="LQ52" s="94"/>
      <c r="LR52" s="95"/>
      <c r="LS52" s="96"/>
      <c r="LT52" s="94"/>
      <c r="LU52" s="95"/>
      <c r="LV52" s="96"/>
      <c r="LW52" s="94"/>
      <c r="LX52" s="95"/>
      <c r="LY52" s="96"/>
      <c r="LZ52" s="94"/>
      <c r="MA52" s="95"/>
      <c r="MB52" s="96"/>
      <c r="MC52" s="94"/>
      <c r="MD52" s="95"/>
      <c r="ME52" s="96"/>
      <c r="MF52" s="94"/>
      <c r="MG52" s="130"/>
      <c r="MH52" s="131"/>
      <c r="MI52" s="94"/>
      <c r="MJ52" s="95"/>
      <c r="MK52" s="96"/>
      <c r="ML52" s="94"/>
      <c r="MM52" s="95"/>
      <c r="MN52" s="96"/>
      <c r="MO52" s="94"/>
      <c r="MP52" s="95"/>
      <c r="MQ52" s="96"/>
      <c r="MR52" s="94"/>
      <c r="MS52" s="95"/>
      <c r="MT52" s="96"/>
      <c r="MU52" s="94"/>
      <c r="MV52" s="95"/>
      <c r="MW52" s="96"/>
      <c r="MX52" s="94"/>
      <c r="MY52" s="95"/>
      <c r="MZ52" s="96"/>
      <c r="NA52" s="94"/>
      <c r="NB52" s="95"/>
      <c r="NC52" s="96"/>
      <c r="ND52" s="94"/>
      <c r="NE52" s="95"/>
      <c r="NF52" s="96"/>
      <c r="NG52" s="94"/>
      <c r="NH52" s="95"/>
      <c r="NI52" s="96"/>
      <c r="NJ52" s="94"/>
      <c r="NK52" s="95"/>
      <c r="NL52" s="96"/>
      <c r="NM52" s="94"/>
      <c r="NN52" s="95"/>
      <c r="NO52" s="96"/>
      <c r="NP52" s="94"/>
      <c r="NQ52" s="95"/>
      <c r="NR52" s="96"/>
      <c r="NS52" s="94"/>
      <c r="NT52" s="95"/>
      <c r="NU52" s="96"/>
      <c r="NV52" s="94"/>
      <c r="NW52" s="97"/>
    </row>
    <row r="53" spans="2:387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343</v>
      </c>
      <c r="D53" s="100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  <c r="CJ53" s="101"/>
      <c r="CK53" s="101"/>
      <c r="CL53" s="101"/>
      <c r="CM53" s="101"/>
      <c r="CN53" s="101"/>
      <c r="CO53" s="101"/>
      <c r="CP53" s="101"/>
      <c r="CQ53" s="101"/>
      <c r="CR53" s="101"/>
      <c r="CS53" s="101"/>
      <c r="CT53" s="101"/>
      <c r="CU53" s="102"/>
      <c r="CV53" s="100"/>
      <c r="CW53" s="101"/>
      <c r="CX53" s="101"/>
      <c r="CY53" s="101"/>
      <c r="CZ53" s="101"/>
      <c r="DA53" s="101"/>
      <c r="DB53" s="101"/>
      <c r="DC53" s="101"/>
      <c r="DD53" s="101"/>
      <c r="DE53" s="101"/>
      <c r="DF53" s="101"/>
      <c r="DG53" s="101"/>
      <c r="DH53" s="101"/>
      <c r="DI53" s="101"/>
      <c r="DJ53" s="101"/>
      <c r="DK53" s="101"/>
      <c r="DL53" s="101"/>
      <c r="DM53" s="101"/>
      <c r="DN53" s="101"/>
      <c r="DO53" s="101"/>
      <c r="DP53" s="101"/>
      <c r="DQ53" s="101"/>
      <c r="DR53" s="101"/>
      <c r="DS53" s="101"/>
      <c r="DT53" s="101"/>
      <c r="DU53" s="101"/>
      <c r="DV53" s="101"/>
      <c r="DW53" s="101"/>
      <c r="DX53" s="101"/>
      <c r="DY53" s="101"/>
      <c r="DZ53" s="101"/>
      <c r="EA53" s="101"/>
      <c r="EB53" s="101"/>
      <c r="EC53" s="101"/>
      <c r="ED53" s="101"/>
      <c r="EE53" s="101"/>
      <c r="EF53" s="101"/>
      <c r="EG53" s="101"/>
      <c r="EH53" s="101"/>
      <c r="EI53" s="101"/>
      <c r="EJ53" s="101"/>
      <c r="EK53" s="101"/>
      <c r="EL53" s="101"/>
      <c r="EM53" s="101"/>
      <c r="EN53" s="101"/>
      <c r="EO53" s="101"/>
      <c r="EP53" s="101"/>
      <c r="EQ53" s="101"/>
      <c r="ER53" s="101"/>
      <c r="ES53" s="101"/>
      <c r="ET53" s="101"/>
      <c r="EU53" s="101"/>
      <c r="EV53" s="101"/>
      <c r="EW53" s="101"/>
      <c r="EX53" s="101"/>
      <c r="EY53" s="101"/>
      <c r="EZ53" s="101"/>
      <c r="FA53" s="101"/>
      <c r="FB53" s="101"/>
      <c r="FC53" s="101"/>
      <c r="FD53" s="101"/>
      <c r="FE53" s="101"/>
      <c r="FF53" s="101"/>
      <c r="FG53" s="101"/>
      <c r="FH53" s="101"/>
      <c r="FI53" s="101"/>
      <c r="FJ53" s="101"/>
      <c r="FK53" s="101"/>
      <c r="FL53" s="101"/>
      <c r="FM53" s="101"/>
      <c r="FN53" s="101"/>
      <c r="FO53" s="101"/>
      <c r="FP53" s="101"/>
      <c r="FQ53" s="101"/>
      <c r="FR53" s="101"/>
      <c r="FS53" s="101"/>
      <c r="FT53" s="101"/>
      <c r="FU53" s="101"/>
      <c r="FV53" s="101"/>
      <c r="FW53" s="101"/>
      <c r="FX53" s="101"/>
      <c r="FY53" s="101"/>
      <c r="FZ53" s="101"/>
      <c r="GA53" s="101"/>
      <c r="GB53" s="101"/>
      <c r="GC53" s="101"/>
      <c r="GD53" s="101"/>
      <c r="GE53" s="101"/>
      <c r="GF53" s="101"/>
      <c r="GG53" s="101"/>
      <c r="GH53" s="101"/>
      <c r="GI53" s="101"/>
      <c r="GJ53" s="101"/>
      <c r="GK53" s="101"/>
      <c r="GL53" s="101"/>
      <c r="GM53" s="102"/>
      <c r="GN53" s="100"/>
      <c r="GO53" s="101"/>
      <c r="GP53" s="101"/>
      <c r="GQ53" s="101"/>
      <c r="GR53" s="101"/>
      <c r="GS53" s="101"/>
      <c r="GT53" s="101"/>
      <c r="GU53" s="101"/>
      <c r="GV53" s="101"/>
      <c r="GW53" s="101"/>
      <c r="GX53" s="101"/>
      <c r="GY53" s="101"/>
      <c r="GZ53" s="101"/>
      <c r="HA53" s="101"/>
      <c r="HB53" s="101"/>
      <c r="HC53" s="101"/>
      <c r="HD53" s="101"/>
      <c r="HE53" s="101"/>
      <c r="HF53" s="101"/>
      <c r="HG53" s="101"/>
      <c r="HH53" s="101"/>
      <c r="HI53" s="101"/>
      <c r="HJ53" s="101"/>
      <c r="HK53" s="101"/>
      <c r="HL53" s="101"/>
      <c r="HM53" s="101"/>
      <c r="HN53" s="101"/>
      <c r="HO53" s="101"/>
      <c r="HP53" s="101"/>
      <c r="HQ53" s="101"/>
      <c r="HR53" s="101"/>
      <c r="HS53" s="101"/>
      <c r="HT53" s="101"/>
      <c r="HU53" s="101"/>
      <c r="HV53" s="101"/>
      <c r="HW53" s="101"/>
      <c r="HX53" s="101"/>
      <c r="HY53" s="101"/>
      <c r="HZ53" s="101"/>
      <c r="IA53" s="101"/>
      <c r="IB53" s="101"/>
      <c r="IC53" s="101"/>
      <c r="ID53" s="101"/>
      <c r="IE53" s="101"/>
      <c r="IF53" s="101"/>
      <c r="IG53" s="101"/>
      <c r="IH53" s="101"/>
      <c r="II53" s="101"/>
      <c r="IJ53" s="101"/>
      <c r="IK53" s="101"/>
      <c r="IL53" s="101"/>
      <c r="IM53" s="101"/>
      <c r="IN53" s="101"/>
      <c r="IO53" s="101"/>
      <c r="IP53" s="101"/>
      <c r="IQ53" s="101"/>
      <c r="IR53" s="101"/>
      <c r="IS53" s="101"/>
      <c r="IT53" s="101"/>
      <c r="IU53" s="101"/>
      <c r="IV53" s="101"/>
      <c r="IW53" s="101"/>
      <c r="IX53" s="101"/>
      <c r="IY53" s="101"/>
      <c r="IZ53" s="101"/>
      <c r="JA53" s="101"/>
      <c r="JB53" s="101"/>
      <c r="JC53" s="101"/>
      <c r="JD53" s="101"/>
      <c r="JE53" s="101"/>
      <c r="JF53" s="101"/>
      <c r="JG53" s="101"/>
      <c r="JH53" s="101"/>
      <c r="JI53" s="101"/>
      <c r="JJ53" s="101"/>
      <c r="JK53" s="101"/>
      <c r="JL53" s="101"/>
      <c r="JM53" s="101"/>
      <c r="JN53" s="101"/>
      <c r="JO53" s="101"/>
      <c r="JP53" s="101"/>
      <c r="JQ53" s="101"/>
      <c r="JR53" s="101"/>
      <c r="JS53" s="101"/>
      <c r="JT53" s="101"/>
      <c r="JU53" s="101"/>
      <c r="JV53" s="101"/>
      <c r="JW53" s="101"/>
      <c r="JX53" s="101"/>
      <c r="JY53" s="101"/>
      <c r="JZ53" s="101"/>
      <c r="KA53" s="101"/>
      <c r="KB53" s="101"/>
      <c r="KC53" s="101"/>
      <c r="KD53" s="101"/>
      <c r="KE53" s="102"/>
      <c r="KF53" s="100"/>
      <c r="KG53" s="101"/>
      <c r="KH53" s="101"/>
      <c r="KI53" s="101"/>
      <c r="KJ53" s="101"/>
      <c r="KK53" s="101"/>
      <c r="KL53" s="101"/>
      <c r="KM53" s="101"/>
      <c r="KN53" s="101"/>
      <c r="KO53" s="101"/>
      <c r="KP53" s="101"/>
      <c r="KQ53" s="101"/>
      <c r="KR53" s="101"/>
      <c r="KS53" s="101"/>
      <c r="KT53" s="101"/>
      <c r="KU53" s="101"/>
      <c r="KV53" s="101"/>
      <c r="KW53" s="101"/>
      <c r="KX53" s="101"/>
      <c r="KY53" s="101"/>
      <c r="KZ53" s="101"/>
      <c r="LA53" s="101"/>
      <c r="LB53" s="101"/>
      <c r="LC53" s="101"/>
      <c r="LD53" s="101"/>
      <c r="LE53" s="101"/>
      <c r="LF53" s="101"/>
      <c r="LG53" s="101"/>
      <c r="LH53" s="101"/>
      <c r="LI53" s="101"/>
      <c r="LJ53" s="101"/>
      <c r="LK53" s="101"/>
      <c r="LL53" s="101"/>
      <c r="LM53" s="101"/>
      <c r="LN53" s="101"/>
      <c r="LO53" s="101"/>
      <c r="LP53" s="101"/>
      <c r="LQ53" s="101"/>
      <c r="LR53" s="101"/>
      <c r="LS53" s="101"/>
      <c r="LT53" s="101"/>
      <c r="LU53" s="101"/>
      <c r="LV53" s="101"/>
      <c r="LW53" s="101"/>
      <c r="LX53" s="101"/>
      <c r="LY53" s="101"/>
      <c r="LZ53" s="101"/>
      <c r="MA53" s="101"/>
      <c r="MB53" s="101"/>
      <c r="MC53" s="101"/>
      <c r="MD53" s="101"/>
      <c r="ME53" s="101"/>
      <c r="MF53" s="101"/>
      <c r="MG53" s="101"/>
      <c r="MH53" s="101"/>
      <c r="MI53" s="101"/>
      <c r="MJ53" s="101"/>
      <c r="MK53" s="101"/>
      <c r="ML53" s="101"/>
      <c r="MM53" s="101"/>
      <c r="MN53" s="101"/>
      <c r="MO53" s="101"/>
      <c r="MP53" s="101"/>
      <c r="MQ53" s="101"/>
      <c r="MR53" s="101"/>
      <c r="MS53" s="101"/>
      <c r="MT53" s="101"/>
      <c r="MU53" s="101"/>
      <c r="MV53" s="101"/>
      <c r="MW53" s="101"/>
      <c r="MX53" s="101"/>
      <c r="MY53" s="101"/>
      <c r="MZ53" s="101"/>
      <c r="NA53" s="101"/>
      <c r="NB53" s="101"/>
      <c r="NC53" s="101"/>
      <c r="ND53" s="101"/>
      <c r="NE53" s="101"/>
      <c r="NF53" s="101"/>
      <c r="NG53" s="101"/>
      <c r="NH53" s="101"/>
      <c r="NI53" s="101"/>
      <c r="NJ53" s="101"/>
      <c r="NK53" s="101"/>
      <c r="NL53" s="101"/>
      <c r="NM53" s="101"/>
      <c r="NN53" s="101"/>
      <c r="NO53" s="101"/>
      <c r="NP53" s="101"/>
      <c r="NQ53" s="101"/>
      <c r="NR53" s="101"/>
      <c r="NS53" s="101"/>
      <c r="NT53" s="101"/>
      <c r="NU53" s="101"/>
      <c r="NV53" s="101"/>
      <c r="NW53" s="102"/>
    </row>
    <row r="54" spans="2:387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343</v>
      </c>
      <c r="D54" s="103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104"/>
      <c r="CQ54" s="104"/>
      <c r="CR54" s="104"/>
      <c r="CS54" s="104"/>
      <c r="CT54" s="104"/>
      <c r="CU54" s="105"/>
      <c r="CV54" s="103"/>
      <c r="CW54" s="104"/>
      <c r="CX54" s="104"/>
      <c r="CY54" s="104"/>
      <c r="CZ54" s="104"/>
      <c r="DA54" s="104"/>
      <c r="DB54" s="104"/>
      <c r="DC54" s="104"/>
      <c r="DD54" s="104"/>
      <c r="DE54" s="104"/>
      <c r="DF54" s="104"/>
      <c r="DG54" s="104"/>
      <c r="DH54" s="104"/>
      <c r="DI54" s="104"/>
      <c r="DJ54" s="104"/>
      <c r="DK54" s="104"/>
      <c r="DL54" s="104"/>
      <c r="DM54" s="104"/>
      <c r="DN54" s="104"/>
      <c r="DO54" s="104"/>
      <c r="DP54" s="104"/>
      <c r="DQ54" s="104"/>
      <c r="DR54" s="104"/>
      <c r="DS54" s="104"/>
      <c r="DT54" s="104"/>
      <c r="DU54" s="104"/>
      <c r="DV54" s="104"/>
      <c r="DW54" s="104"/>
      <c r="DX54" s="104"/>
      <c r="DY54" s="104"/>
      <c r="DZ54" s="104"/>
      <c r="EA54" s="104"/>
      <c r="EB54" s="104"/>
      <c r="EC54" s="104"/>
      <c r="ED54" s="104"/>
      <c r="EE54" s="104"/>
      <c r="EF54" s="104"/>
      <c r="EG54" s="104"/>
      <c r="EH54" s="104"/>
      <c r="EI54" s="104"/>
      <c r="EJ54" s="104"/>
      <c r="EK54" s="104"/>
      <c r="EL54" s="104"/>
      <c r="EM54" s="104"/>
      <c r="EN54" s="104"/>
      <c r="EO54" s="104"/>
      <c r="EP54" s="104"/>
      <c r="EQ54" s="104"/>
      <c r="ER54" s="104"/>
      <c r="ES54" s="104"/>
      <c r="ET54" s="104"/>
      <c r="EU54" s="104"/>
      <c r="EV54" s="104"/>
      <c r="EW54" s="104"/>
      <c r="EX54" s="104"/>
      <c r="EY54" s="104"/>
      <c r="EZ54" s="104"/>
      <c r="FA54" s="104"/>
      <c r="FB54" s="104"/>
      <c r="FC54" s="104"/>
      <c r="FD54" s="104"/>
      <c r="FE54" s="104"/>
      <c r="FF54" s="104"/>
      <c r="FG54" s="104"/>
      <c r="FH54" s="104"/>
      <c r="FI54" s="104"/>
      <c r="FJ54" s="104"/>
      <c r="FK54" s="104"/>
      <c r="FL54" s="104"/>
      <c r="FM54" s="104"/>
      <c r="FN54" s="104"/>
      <c r="FO54" s="104"/>
      <c r="FP54" s="104"/>
      <c r="FQ54" s="104"/>
      <c r="FR54" s="104"/>
      <c r="FS54" s="104"/>
      <c r="FT54" s="104"/>
      <c r="FU54" s="104"/>
      <c r="FV54" s="104"/>
      <c r="FW54" s="104"/>
      <c r="FX54" s="104"/>
      <c r="FY54" s="104"/>
      <c r="FZ54" s="104"/>
      <c r="GA54" s="104"/>
      <c r="GB54" s="104"/>
      <c r="GC54" s="104"/>
      <c r="GD54" s="104"/>
      <c r="GE54" s="104"/>
      <c r="GF54" s="104"/>
      <c r="GG54" s="104"/>
      <c r="GH54" s="104"/>
      <c r="GI54" s="104"/>
      <c r="GJ54" s="104"/>
      <c r="GK54" s="104"/>
      <c r="GL54" s="104"/>
      <c r="GM54" s="105"/>
      <c r="GN54" s="103"/>
      <c r="GO54" s="104"/>
      <c r="GP54" s="104"/>
      <c r="GQ54" s="104"/>
      <c r="GR54" s="104"/>
      <c r="GS54" s="104"/>
      <c r="GT54" s="104"/>
      <c r="GU54" s="104"/>
      <c r="GV54" s="104"/>
      <c r="GW54" s="104"/>
      <c r="GX54" s="104"/>
      <c r="GY54" s="104"/>
      <c r="GZ54" s="104"/>
      <c r="HA54" s="104"/>
      <c r="HB54" s="104"/>
      <c r="HC54" s="104"/>
      <c r="HD54" s="104"/>
      <c r="HE54" s="104"/>
      <c r="HF54" s="104"/>
      <c r="HG54" s="104"/>
      <c r="HH54" s="104"/>
      <c r="HI54" s="104"/>
      <c r="HJ54" s="104"/>
      <c r="HK54" s="104"/>
      <c r="HL54" s="104"/>
      <c r="HM54" s="104"/>
      <c r="HN54" s="104"/>
      <c r="HO54" s="104"/>
      <c r="HP54" s="104"/>
      <c r="HQ54" s="104"/>
      <c r="HR54" s="104"/>
      <c r="HS54" s="104"/>
      <c r="HT54" s="104"/>
      <c r="HU54" s="104"/>
      <c r="HV54" s="104"/>
      <c r="HW54" s="104"/>
      <c r="HX54" s="104"/>
      <c r="HY54" s="104"/>
      <c r="HZ54" s="104"/>
      <c r="IA54" s="104"/>
      <c r="IB54" s="104"/>
      <c r="IC54" s="104"/>
      <c r="ID54" s="104"/>
      <c r="IE54" s="104"/>
      <c r="IF54" s="104"/>
      <c r="IG54" s="104"/>
      <c r="IH54" s="104"/>
      <c r="II54" s="104"/>
      <c r="IJ54" s="104"/>
      <c r="IK54" s="104"/>
      <c r="IL54" s="104"/>
      <c r="IM54" s="104"/>
      <c r="IN54" s="104"/>
      <c r="IO54" s="104"/>
      <c r="IP54" s="104"/>
      <c r="IQ54" s="104"/>
      <c r="IR54" s="104"/>
      <c r="IS54" s="104"/>
      <c r="IT54" s="104"/>
      <c r="IU54" s="104"/>
      <c r="IV54" s="104"/>
      <c r="IW54" s="104"/>
      <c r="IX54" s="104"/>
      <c r="IY54" s="104"/>
      <c r="IZ54" s="104"/>
      <c r="JA54" s="104"/>
      <c r="JB54" s="104"/>
      <c r="JC54" s="104"/>
      <c r="JD54" s="104"/>
      <c r="JE54" s="104"/>
      <c r="JF54" s="104"/>
      <c r="JG54" s="104"/>
      <c r="JH54" s="104"/>
      <c r="JI54" s="104"/>
      <c r="JJ54" s="104"/>
      <c r="JK54" s="104"/>
      <c r="JL54" s="104"/>
      <c r="JM54" s="104"/>
      <c r="JN54" s="104"/>
      <c r="JO54" s="104"/>
      <c r="JP54" s="104"/>
      <c r="JQ54" s="104"/>
      <c r="JR54" s="104"/>
      <c r="JS54" s="104"/>
      <c r="JT54" s="104"/>
      <c r="JU54" s="104"/>
      <c r="JV54" s="104"/>
      <c r="JW54" s="104"/>
      <c r="JX54" s="104"/>
      <c r="JY54" s="104"/>
      <c r="JZ54" s="104"/>
      <c r="KA54" s="104"/>
      <c r="KB54" s="104"/>
      <c r="KC54" s="104"/>
      <c r="KD54" s="104"/>
      <c r="KE54" s="105"/>
      <c r="KF54" s="103"/>
      <c r="KG54" s="104"/>
      <c r="KH54" s="104"/>
      <c r="KI54" s="104"/>
      <c r="KJ54" s="104"/>
      <c r="KK54" s="104"/>
      <c r="KL54" s="104"/>
      <c r="KM54" s="104"/>
      <c r="KN54" s="104"/>
      <c r="KO54" s="104"/>
      <c r="KP54" s="104"/>
      <c r="KQ54" s="104"/>
      <c r="KR54" s="104"/>
      <c r="KS54" s="104"/>
      <c r="KT54" s="104"/>
      <c r="KU54" s="104"/>
      <c r="KV54" s="104"/>
      <c r="KW54" s="104"/>
      <c r="KX54" s="104"/>
      <c r="KY54" s="104"/>
      <c r="KZ54" s="104"/>
      <c r="LA54" s="104"/>
      <c r="LB54" s="104"/>
      <c r="LC54" s="104"/>
      <c r="LD54" s="104"/>
      <c r="LE54" s="104"/>
      <c r="LF54" s="104"/>
      <c r="LG54" s="104"/>
      <c r="LH54" s="104"/>
      <c r="LI54" s="104"/>
      <c r="LJ54" s="104"/>
      <c r="LK54" s="104"/>
      <c r="LL54" s="104"/>
      <c r="LM54" s="104"/>
      <c r="LN54" s="104"/>
      <c r="LO54" s="104"/>
      <c r="LP54" s="104"/>
      <c r="LQ54" s="104"/>
      <c r="LR54" s="104"/>
      <c r="LS54" s="104"/>
      <c r="LT54" s="104"/>
      <c r="LU54" s="104"/>
      <c r="LV54" s="104"/>
      <c r="LW54" s="104"/>
      <c r="LX54" s="104"/>
      <c r="LY54" s="104"/>
      <c r="LZ54" s="104"/>
      <c r="MA54" s="104"/>
      <c r="MB54" s="104"/>
      <c r="MC54" s="104"/>
      <c r="MD54" s="104"/>
      <c r="ME54" s="104"/>
      <c r="MF54" s="104"/>
      <c r="MG54" s="104"/>
      <c r="MH54" s="104"/>
      <c r="MI54" s="104"/>
      <c r="MJ54" s="104"/>
      <c r="MK54" s="104"/>
      <c r="ML54" s="104"/>
      <c r="MM54" s="104"/>
      <c r="MN54" s="104"/>
      <c r="MO54" s="104"/>
      <c r="MP54" s="104"/>
      <c r="MQ54" s="104"/>
      <c r="MR54" s="104"/>
      <c r="MS54" s="104"/>
      <c r="MT54" s="104"/>
      <c r="MU54" s="104"/>
      <c r="MV54" s="104"/>
      <c r="MW54" s="104"/>
      <c r="MX54" s="104"/>
      <c r="MY54" s="104"/>
      <c r="MZ54" s="104"/>
      <c r="NA54" s="104"/>
      <c r="NB54" s="104"/>
      <c r="NC54" s="104"/>
      <c r="ND54" s="104"/>
      <c r="NE54" s="104"/>
      <c r="NF54" s="104"/>
      <c r="NG54" s="104"/>
      <c r="NH54" s="104"/>
      <c r="NI54" s="104"/>
      <c r="NJ54" s="104"/>
      <c r="NK54" s="104"/>
      <c r="NL54" s="104"/>
      <c r="NM54" s="104"/>
      <c r="NN54" s="104"/>
      <c r="NO54" s="104"/>
      <c r="NP54" s="104"/>
      <c r="NQ54" s="104"/>
      <c r="NR54" s="104"/>
      <c r="NS54" s="104"/>
      <c r="NT54" s="104"/>
      <c r="NU54" s="104"/>
      <c r="NV54" s="104"/>
      <c r="NW54" s="105"/>
    </row>
  </sheetData>
  <sheetProtection sheet="1" objects="1" scenarios="1" insertRows="0" selectLockedCells="1"/>
  <mergeCells count="29">
    <mergeCell ref="B13:B14"/>
    <mergeCell ref="B3:B4"/>
    <mergeCell ref="B5:B6"/>
    <mergeCell ref="B7:B8"/>
    <mergeCell ref="B9:B10"/>
    <mergeCell ref="B11:B12"/>
    <mergeCell ref="B37:B38"/>
    <mergeCell ref="B15:B16"/>
    <mergeCell ref="B17:B18"/>
    <mergeCell ref="B19:B20"/>
    <mergeCell ref="B21:B22"/>
    <mergeCell ref="B23:B24"/>
    <mergeCell ref="B25:B26"/>
    <mergeCell ref="B51:B52"/>
    <mergeCell ref="D2:CU2"/>
    <mergeCell ref="CV2:GM2"/>
    <mergeCell ref="GN2:KE2"/>
    <mergeCell ref="KF2:NW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 xr:uid="{65E20473-1EDA-4571-904C-3695F257AF8E}">
      <formula1>0</formula1>
      <formula2>$C$9</formula2>
    </dataValidation>
  </dataValidations>
  <pageMargins left="0.7" right="0.7" top="0.75" bottom="0.75" header="0.3" footer="0.3"/>
  <pageSetup paperSize="8" scale="2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924F7-B86C-4DF6-9C5F-DA049DDB9FE8}">
  <sheetPr codeName="Feuil5">
    <pageSetUpPr fitToPage="1"/>
  </sheetPr>
  <dimension ref="A1:H52"/>
  <sheetViews>
    <sheetView topLeftCell="A26" zoomScaleNormal="100" workbookViewId="0">
      <selection activeCell="A25" sqref="A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19.28515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90</v>
      </c>
    </row>
    <row r="3" spans="1:4" s="52" customFormat="1" ht="15" customHeight="1" x14ac:dyDescent="0.25">
      <c r="A3" s="5" t="s">
        <v>56</v>
      </c>
      <c r="B3" s="4">
        <v>3</v>
      </c>
      <c r="C3" s="111" t="s">
        <v>75</v>
      </c>
      <c r="D3" s="9"/>
    </row>
    <row r="4" spans="1:4" s="52" customFormat="1" ht="17.25" customHeight="1" x14ac:dyDescent="0.25">
      <c r="A4" s="1" t="s">
        <v>32</v>
      </c>
      <c r="B4" s="2">
        <v>18</v>
      </c>
      <c r="C4" s="112" t="s">
        <v>74</v>
      </c>
      <c r="D4" s="10"/>
    </row>
    <row r="5" spans="1:4" s="52" customFormat="1" ht="30.75" customHeight="1" x14ac:dyDescent="0.25">
      <c r="A5" s="1" t="s">
        <v>49</v>
      </c>
      <c r="B5" s="2">
        <v>12</v>
      </c>
      <c r="C5" s="112" t="s">
        <v>73</v>
      </c>
      <c r="D5" s="10"/>
    </row>
    <row r="6" spans="1:4" s="52" customFormat="1" ht="35.25" customHeight="1" x14ac:dyDescent="0.25">
      <c r="A6" s="1" t="s">
        <v>48</v>
      </c>
      <c r="B6" s="2">
        <v>15</v>
      </c>
      <c r="C6" s="112" t="s">
        <v>72</v>
      </c>
      <c r="D6" s="10"/>
    </row>
    <row r="7" spans="1:4" s="52" customFormat="1" ht="27" x14ac:dyDescent="0.25">
      <c r="A7" s="1" t="s">
        <v>50</v>
      </c>
      <c r="B7" s="2">
        <v>12</v>
      </c>
      <c r="C7" s="112" t="s">
        <v>71</v>
      </c>
      <c r="D7" s="10"/>
    </row>
    <row r="8" spans="1:4" s="52" customFormat="1" ht="27" x14ac:dyDescent="0.25">
      <c r="A8" s="1" t="s">
        <v>54</v>
      </c>
      <c r="B8" s="2">
        <v>6</v>
      </c>
      <c r="C8" s="112" t="s">
        <v>70</v>
      </c>
      <c r="D8" s="10"/>
    </row>
    <row r="9" spans="1:4" s="52" customFormat="1" ht="40.5" x14ac:dyDescent="0.25">
      <c r="A9" s="2" t="s">
        <v>55</v>
      </c>
      <c r="B9" s="2">
        <v>9</v>
      </c>
      <c r="C9" s="112" t="s">
        <v>57</v>
      </c>
      <c r="D9" s="10"/>
    </row>
    <row r="10" spans="1:4" s="52" customFormat="1" x14ac:dyDescent="0.25">
      <c r="A10" s="2" t="s">
        <v>52</v>
      </c>
      <c r="B10" s="2">
        <v>18</v>
      </c>
      <c r="C10" s="112" t="s">
        <v>69</v>
      </c>
      <c r="D10" s="10"/>
    </row>
    <row r="11" spans="1:4" s="52" customFormat="1" ht="14.25" thickBot="1" x14ac:dyDescent="0.3">
      <c r="A11" s="2" t="s">
        <v>61</v>
      </c>
      <c r="B11" s="2">
        <v>3</v>
      </c>
      <c r="C11" s="112" t="s">
        <v>67</v>
      </c>
      <c r="D11" s="10"/>
    </row>
    <row r="12" spans="1:4" ht="14.25" thickBot="1" x14ac:dyDescent="0.3">
      <c r="A12" s="12" t="s">
        <v>22</v>
      </c>
      <c r="B12" s="12">
        <f>SUM(B3:B11)</f>
        <v>96</v>
      </c>
      <c r="C12" s="85" t="s">
        <v>53</v>
      </c>
      <c r="D12" s="13"/>
    </row>
    <row r="13" spans="1:4" ht="15" thickBot="1" x14ac:dyDescent="0.35">
      <c r="A13" s="14"/>
      <c r="B13" s="14"/>
      <c r="C13" s="14"/>
      <c r="D13" s="14"/>
    </row>
    <row r="14" spans="1:4" ht="18.75" thickBot="1" x14ac:dyDescent="0.3">
      <c r="A14" s="6" t="s">
        <v>14</v>
      </c>
      <c r="B14" s="7">
        <v>2</v>
      </c>
      <c r="C14" s="17"/>
      <c r="D14" s="84"/>
    </row>
    <row r="15" spans="1:4" ht="27.75" thickBot="1" x14ac:dyDescent="0.3">
      <c r="A15" s="8" t="s">
        <v>3</v>
      </c>
      <c r="B15" s="18" t="s">
        <v>15</v>
      </c>
      <c r="C15" s="8" t="s">
        <v>7</v>
      </c>
      <c r="D15" s="8" t="s">
        <v>90</v>
      </c>
    </row>
    <row r="16" spans="1:4" ht="27" x14ac:dyDescent="0.25">
      <c r="A16" s="5" t="s">
        <v>27</v>
      </c>
      <c r="B16" s="4">
        <v>21</v>
      </c>
      <c r="C16" s="111" t="s">
        <v>60</v>
      </c>
      <c r="D16" s="9"/>
    </row>
    <row r="17" spans="1:8" ht="27" x14ac:dyDescent="0.25">
      <c r="A17" s="1" t="s">
        <v>45</v>
      </c>
      <c r="B17" s="2">
        <v>3</v>
      </c>
      <c r="C17" s="112" t="s">
        <v>89</v>
      </c>
      <c r="D17" s="10"/>
    </row>
    <row r="18" spans="1:8" ht="27" x14ac:dyDescent="0.25">
      <c r="A18" s="1" t="s">
        <v>29</v>
      </c>
      <c r="B18" s="2">
        <v>12</v>
      </c>
      <c r="C18" s="112" t="s">
        <v>68</v>
      </c>
      <c r="D18" s="10"/>
    </row>
    <row r="19" spans="1:8" ht="29.25" customHeight="1" x14ac:dyDescent="0.25">
      <c r="A19" s="1" t="s">
        <v>28</v>
      </c>
      <c r="B19" s="2">
        <v>6</v>
      </c>
      <c r="C19" s="112" t="s">
        <v>58</v>
      </c>
      <c r="D19" s="10"/>
      <c r="F19" s="31"/>
      <c r="G19" s="32"/>
      <c r="H19" s="33"/>
    </row>
    <row r="20" spans="1:8" ht="28.5" customHeight="1" x14ac:dyDescent="0.25">
      <c r="A20" s="1" t="s">
        <v>39</v>
      </c>
      <c r="B20" s="2">
        <v>6</v>
      </c>
      <c r="C20" s="112" t="s">
        <v>63</v>
      </c>
      <c r="D20" s="10"/>
      <c r="F20" s="31"/>
      <c r="G20" s="32"/>
      <c r="H20" s="33"/>
    </row>
    <row r="21" spans="1:8" ht="19.5" customHeight="1" x14ac:dyDescent="0.25">
      <c r="A21" s="2" t="s">
        <v>33</v>
      </c>
      <c r="B21" s="2">
        <v>12</v>
      </c>
      <c r="C21" s="112" t="s">
        <v>59</v>
      </c>
      <c r="D21" s="10"/>
      <c r="F21" s="34"/>
      <c r="G21" s="30"/>
      <c r="H21" s="30"/>
    </row>
    <row r="22" spans="1:8" ht="27" x14ac:dyDescent="0.25">
      <c r="A22" s="1" t="s">
        <v>41</v>
      </c>
      <c r="B22" s="2">
        <v>9</v>
      </c>
      <c r="C22" s="112" t="s">
        <v>86</v>
      </c>
      <c r="D22" s="10"/>
      <c r="F22" s="36"/>
      <c r="G22" s="37"/>
      <c r="H22" s="37"/>
    </row>
    <row r="23" spans="1:8" ht="27" x14ac:dyDescent="0.25">
      <c r="A23" s="2" t="s">
        <v>30</v>
      </c>
      <c r="B23" s="2">
        <v>9</v>
      </c>
      <c r="C23" s="112" t="s">
        <v>85</v>
      </c>
      <c r="D23" s="10"/>
      <c r="F23" s="36"/>
      <c r="G23" s="37"/>
      <c r="H23" s="37"/>
    </row>
    <row r="24" spans="1:8" ht="27" x14ac:dyDescent="0.25">
      <c r="A24" s="2" t="s">
        <v>52</v>
      </c>
      <c r="B24" s="2">
        <v>15</v>
      </c>
      <c r="C24" s="112" t="s">
        <v>82</v>
      </c>
      <c r="D24" s="10"/>
      <c r="F24" s="36"/>
      <c r="G24" s="37"/>
      <c r="H24" s="37"/>
    </row>
    <row r="25" spans="1:8" ht="14.25" thickBot="1" x14ac:dyDescent="0.3">
      <c r="A25" s="2" t="s">
        <v>61</v>
      </c>
      <c r="B25" s="2">
        <v>3</v>
      </c>
      <c r="C25" s="112" t="s">
        <v>67</v>
      </c>
      <c r="D25" s="11"/>
      <c r="F25" s="36"/>
      <c r="G25" s="37"/>
      <c r="H25" s="37"/>
    </row>
    <row r="26" spans="1:8" ht="14.25" thickBot="1" x14ac:dyDescent="0.3">
      <c r="A26" s="12" t="s">
        <v>22</v>
      </c>
      <c r="B26" s="12">
        <f>SUM(B16:B25)</f>
        <v>96</v>
      </c>
      <c r="C26" s="85" t="s">
        <v>53</v>
      </c>
      <c r="D26" s="13"/>
      <c r="F26" s="36"/>
      <c r="G26" s="37"/>
      <c r="H26" s="37"/>
    </row>
    <row r="27" spans="1:8" ht="15" thickBot="1" x14ac:dyDescent="0.35">
      <c r="A27" s="14"/>
      <c r="B27" s="14"/>
      <c r="C27" s="14"/>
      <c r="D27" s="14"/>
      <c r="F27" s="36"/>
      <c r="G27" s="37"/>
      <c r="H27" s="37"/>
    </row>
    <row r="28" spans="1:8" ht="18.75" thickBot="1" x14ac:dyDescent="0.3">
      <c r="A28" s="6" t="s">
        <v>14</v>
      </c>
      <c r="B28" s="7">
        <v>3</v>
      </c>
      <c r="C28" s="17"/>
      <c r="D28" s="84"/>
      <c r="F28" s="36"/>
      <c r="G28" s="37"/>
      <c r="H28" s="37"/>
    </row>
    <row r="29" spans="1:8" ht="27.75" thickBot="1" x14ac:dyDescent="0.3">
      <c r="A29" s="8" t="s">
        <v>3</v>
      </c>
      <c r="B29" s="18" t="s">
        <v>15</v>
      </c>
      <c r="C29" s="8" t="s">
        <v>7</v>
      </c>
      <c r="D29" s="8" t="s">
        <v>90</v>
      </c>
      <c r="F29" s="38"/>
      <c r="G29" s="39"/>
      <c r="H29" s="39"/>
    </row>
    <row r="30" spans="1:8" ht="27" x14ac:dyDescent="0.25">
      <c r="A30" s="1" t="s">
        <v>42</v>
      </c>
      <c r="B30" s="2">
        <v>21</v>
      </c>
      <c r="C30" s="112" t="s">
        <v>66</v>
      </c>
      <c r="D30" s="10"/>
    </row>
    <row r="31" spans="1:8" ht="27" x14ac:dyDescent="0.25">
      <c r="A31" s="1" t="s">
        <v>40</v>
      </c>
      <c r="B31" s="2">
        <v>9</v>
      </c>
      <c r="C31" s="112" t="s">
        <v>80</v>
      </c>
      <c r="D31" s="10"/>
    </row>
    <row r="32" spans="1:8" ht="27" x14ac:dyDescent="0.25">
      <c r="A32" s="1" t="s">
        <v>30</v>
      </c>
      <c r="B32" s="2">
        <v>6</v>
      </c>
      <c r="C32" s="112" t="s">
        <v>84</v>
      </c>
      <c r="D32" s="10"/>
    </row>
    <row r="33" spans="1:4" x14ac:dyDescent="0.25">
      <c r="A33" s="1" t="s">
        <v>52</v>
      </c>
      <c r="B33" s="2">
        <v>9</v>
      </c>
      <c r="C33" s="112" t="s">
        <v>65</v>
      </c>
      <c r="D33" s="10"/>
    </row>
    <row r="34" spans="1:4" ht="27" x14ac:dyDescent="0.25">
      <c r="A34" s="1" t="s">
        <v>28</v>
      </c>
      <c r="B34" s="2">
        <v>3</v>
      </c>
      <c r="C34" s="112" t="s">
        <v>64</v>
      </c>
      <c r="D34" s="10"/>
    </row>
    <row r="35" spans="1:4" ht="27" x14ac:dyDescent="0.25">
      <c r="A35" s="1" t="s">
        <v>43</v>
      </c>
      <c r="B35" s="2">
        <v>6</v>
      </c>
      <c r="C35" s="112" t="s">
        <v>63</v>
      </c>
      <c r="D35" s="10"/>
    </row>
    <row r="36" spans="1:4" ht="27" x14ac:dyDescent="0.25">
      <c r="A36" s="87" t="s">
        <v>44</v>
      </c>
      <c r="B36" s="2">
        <v>3</v>
      </c>
      <c r="C36" s="112" t="s">
        <v>76</v>
      </c>
      <c r="D36" s="10"/>
    </row>
    <row r="37" spans="1:4" ht="40.5" x14ac:dyDescent="0.25">
      <c r="A37" s="2" t="s">
        <v>47</v>
      </c>
      <c r="B37" s="2">
        <v>6</v>
      </c>
      <c r="C37" s="112" t="s">
        <v>77</v>
      </c>
      <c r="D37" s="10"/>
    </row>
    <row r="38" spans="1:4" ht="40.5" x14ac:dyDescent="0.25">
      <c r="A38" s="50" t="s">
        <v>46</v>
      </c>
      <c r="B38" s="50">
        <v>9</v>
      </c>
      <c r="C38" s="114" t="s">
        <v>81</v>
      </c>
      <c r="D38" s="51"/>
    </row>
    <row r="39" spans="1:4" ht="27" x14ac:dyDescent="0.25">
      <c r="A39" s="50" t="s">
        <v>30</v>
      </c>
      <c r="B39" s="50">
        <v>9</v>
      </c>
      <c r="C39" s="114" t="s">
        <v>79</v>
      </c>
      <c r="D39" s="51"/>
    </row>
    <row r="40" spans="1:4" x14ac:dyDescent="0.25">
      <c r="A40" s="50" t="s">
        <v>52</v>
      </c>
      <c r="B40" s="50">
        <v>12</v>
      </c>
      <c r="C40" s="114" t="s">
        <v>78</v>
      </c>
      <c r="D40" s="51"/>
    </row>
    <row r="41" spans="1:4" ht="14.25" thickBot="1" x14ac:dyDescent="0.3">
      <c r="A41" s="3" t="s">
        <v>61</v>
      </c>
      <c r="B41" s="3">
        <v>3</v>
      </c>
      <c r="C41" s="113" t="s">
        <v>67</v>
      </c>
      <c r="D41" s="11"/>
    </row>
    <row r="42" spans="1:4" ht="14.25" thickBot="1" x14ac:dyDescent="0.3">
      <c r="A42" s="12" t="s">
        <v>22</v>
      </c>
      <c r="B42" s="12">
        <f>SUM(B30:B41)</f>
        <v>96</v>
      </c>
      <c r="C42" s="85" t="s">
        <v>53</v>
      </c>
      <c r="D42" s="13"/>
    </row>
    <row r="43" spans="1:4" ht="15" thickBot="1" x14ac:dyDescent="0.35">
      <c r="A43" s="14"/>
      <c r="B43" s="14"/>
      <c r="C43" s="14"/>
      <c r="D43" s="14"/>
    </row>
    <row r="44" spans="1:4" ht="18.75" thickBot="1" x14ac:dyDescent="0.3">
      <c r="A44" s="6" t="s">
        <v>14</v>
      </c>
      <c r="B44" s="7">
        <v>4</v>
      </c>
      <c r="C44" s="17"/>
      <c r="D44" s="84"/>
    </row>
    <row r="45" spans="1:4" ht="27.75" thickBot="1" x14ac:dyDescent="0.3">
      <c r="A45" s="8" t="s">
        <v>3</v>
      </c>
      <c r="B45" s="18" t="s">
        <v>15</v>
      </c>
      <c r="C45" s="8" t="s">
        <v>7</v>
      </c>
      <c r="D45" s="8" t="s">
        <v>90</v>
      </c>
    </row>
    <row r="46" spans="1:4" ht="27" x14ac:dyDescent="0.25">
      <c r="A46" s="5" t="s">
        <v>51</v>
      </c>
      <c r="B46" s="4">
        <v>15</v>
      </c>
      <c r="C46" s="111" t="s">
        <v>87</v>
      </c>
      <c r="D46" s="9"/>
    </row>
    <row r="47" spans="1:4" ht="27" x14ac:dyDescent="0.25">
      <c r="A47" s="1" t="s">
        <v>30</v>
      </c>
      <c r="B47" s="2">
        <v>15</v>
      </c>
      <c r="C47" s="112" t="s">
        <v>83</v>
      </c>
      <c r="D47" s="10"/>
    </row>
    <row r="48" spans="1:4" x14ac:dyDescent="0.25">
      <c r="A48" s="1" t="s">
        <v>52</v>
      </c>
      <c r="B48" s="2">
        <v>24</v>
      </c>
      <c r="C48" s="112" t="s">
        <v>88</v>
      </c>
      <c r="D48" s="10"/>
    </row>
    <row r="49" spans="1:4" ht="14.25" thickBot="1" x14ac:dyDescent="0.3">
      <c r="A49" s="1" t="s">
        <v>61</v>
      </c>
      <c r="B49" s="2">
        <v>1</v>
      </c>
      <c r="C49" s="112" t="s">
        <v>62</v>
      </c>
      <c r="D49" s="10"/>
    </row>
    <row r="50" spans="1:4" ht="14.25" thickBot="1" x14ac:dyDescent="0.3">
      <c r="A50" s="12" t="s">
        <v>22</v>
      </c>
      <c r="B50" s="12">
        <f>SUM(B46:B49)</f>
        <v>55</v>
      </c>
      <c r="C50" s="85" t="s">
        <v>53</v>
      </c>
      <c r="D50" s="13"/>
    </row>
    <row r="51" spans="1:4" ht="14.25" x14ac:dyDescent="0.3">
      <c r="A51" s="14"/>
      <c r="B51" s="14"/>
      <c r="C51" s="14"/>
      <c r="D51" s="14"/>
    </row>
    <row r="52" spans="1:4" x14ac:dyDescent="0.25">
      <c r="A52" s="86" t="s">
        <v>31</v>
      </c>
    </row>
  </sheetData>
  <sheetProtection insertRows="0" selectLockedCells="1"/>
  <dataValidations count="4">
    <dataValidation type="list" allowBlank="1" showInputMessage="1" showErrorMessage="1" sqref="A3:A11 A30:A41 A16:A25 A46:A49" xr:uid="{3BD29CB8-A213-45B0-81DF-535F1C6BBB7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6 B42 B50" xr:uid="{338D5373-35BA-497C-AA41-E3A2F3842AC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1 F22:F28 B30:B41 B16:B25 B46:B49" xr:uid="{83E54BA3-B6A0-4D2F-AA9C-D038DE430A3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9" xr:uid="{FE1034FB-65A2-4CF4-B3ED-3E9C044505FD}">
      <formula1>0</formula1>
      <formula2>DureePeriode-1</formula2>
    </dataValidation>
  </dataValidations>
  <pageMargins left="0.7" right="0.7" top="0.75" bottom="0.75" header="0.3" footer="0.3"/>
  <pageSetup paperSize="9" scale="4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B8543-22B8-4591-80D9-2EE32B3EB0B2}">
  <sheetPr codeName="Feuil9"/>
  <dimension ref="A1:H77"/>
  <sheetViews>
    <sheetView topLeftCell="C1" workbookViewId="0">
      <selection activeCell="B62" sqref="B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45754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56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18</v>
      </c>
      <c r="C4" s="10"/>
      <c r="D4" s="10"/>
    </row>
    <row r="5" spans="1:4" s="52" customFormat="1" ht="27" x14ac:dyDescent="0.25">
      <c r="A5" s="1" t="s">
        <v>49</v>
      </c>
      <c r="B5" s="2">
        <v>18</v>
      </c>
      <c r="C5" s="10"/>
      <c r="D5" s="10"/>
    </row>
    <row r="6" spans="1:4" s="52" customFormat="1" ht="27" x14ac:dyDescent="0.25">
      <c r="A6" s="1" t="s">
        <v>48</v>
      </c>
      <c r="B6" s="2">
        <v>9</v>
      </c>
      <c r="C6" s="10"/>
      <c r="D6" s="10"/>
    </row>
    <row r="7" spans="1:4" s="52" customFormat="1" ht="27" x14ac:dyDescent="0.25">
      <c r="A7" s="1" t="s">
        <v>50</v>
      </c>
      <c r="B7" s="2">
        <v>6</v>
      </c>
      <c r="C7" s="10"/>
      <c r="D7" s="10"/>
    </row>
    <row r="8" spans="1:4" s="52" customFormat="1" ht="27" x14ac:dyDescent="0.25">
      <c r="A8" s="1" t="s">
        <v>54</v>
      </c>
      <c r="B8" s="2">
        <v>3</v>
      </c>
      <c r="C8" s="10"/>
      <c r="D8" s="10"/>
    </row>
    <row r="9" spans="1:4" s="52" customFormat="1" ht="40.5" x14ac:dyDescent="0.25">
      <c r="A9" s="1" t="s">
        <v>55</v>
      </c>
      <c r="B9" s="2">
        <v>6</v>
      </c>
      <c r="C9" s="10"/>
      <c r="D9" s="10"/>
    </row>
    <row r="10" spans="1:4" s="52" customFormat="1" x14ac:dyDescent="0.25">
      <c r="A10" s="1" t="s">
        <v>52</v>
      </c>
      <c r="B10" s="2">
        <v>30</v>
      </c>
      <c r="C10" s="10"/>
      <c r="D10" s="10"/>
    </row>
    <row r="11" spans="1:4" s="52" customFormat="1" x14ac:dyDescent="0.25">
      <c r="A11" s="1" t="s">
        <v>61</v>
      </c>
      <c r="B11" s="2">
        <v>3</v>
      </c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96</v>
      </c>
      <c r="C18" s="117" t="s">
        <v>53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45761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27</v>
      </c>
      <c r="B22" s="4">
        <v>28</v>
      </c>
      <c r="C22" s="9"/>
      <c r="D22" s="9"/>
    </row>
    <row r="23" spans="1:8" ht="27" x14ac:dyDescent="0.25">
      <c r="A23" s="1" t="s">
        <v>45</v>
      </c>
      <c r="B23" s="2">
        <v>3</v>
      </c>
      <c r="C23" s="10"/>
      <c r="D23" s="10"/>
    </row>
    <row r="24" spans="1:8" ht="27" x14ac:dyDescent="0.25">
      <c r="A24" s="1" t="s">
        <v>29</v>
      </c>
      <c r="B24" s="2">
        <v>9</v>
      </c>
      <c r="C24" s="10"/>
      <c r="D24" s="10"/>
    </row>
    <row r="25" spans="1:8" ht="12.75" customHeight="1" x14ac:dyDescent="0.25">
      <c r="A25" s="1" t="s">
        <v>28</v>
      </c>
      <c r="B25" s="2">
        <v>3</v>
      </c>
      <c r="C25" s="10"/>
      <c r="D25" s="10"/>
      <c r="F25" s="31"/>
      <c r="G25" s="32"/>
      <c r="H25" s="33"/>
    </row>
    <row r="26" spans="1:8" ht="27" x14ac:dyDescent="0.25">
      <c r="A26" s="1" t="s">
        <v>39</v>
      </c>
      <c r="B26" s="2">
        <v>5</v>
      </c>
      <c r="C26" s="10"/>
      <c r="D26" s="10"/>
      <c r="F26" s="34"/>
      <c r="G26" s="30"/>
      <c r="H26" s="30"/>
    </row>
    <row r="27" spans="1:8" x14ac:dyDescent="0.25">
      <c r="A27" s="1" t="s">
        <v>33</v>
      </c>
      <c r="B27" s="2">
        <v>9</v>
      </c>
      <c r="C27" s="10"/>
      <c r="D27" s="10"/>
      <c r="F27" s="36"/>
      <c r="G27" s="37"/>
      <c r="H27" s="37"/>
    </row>
    <row r="28" spans="1:8" ht="27" x14ac:dyDescent="0.25">
      <c r="A28" s="1" t="s">
        <v>41</v>
      </c>
      <c r="B28" s="2">
        <v>1</v>
      </c>
      <c r="C28" s="10"/>
      <c r="D28" s="10"/>
      <c r="F28" s="36"/>
      <c r="G28" s="37"/>
      <c r="H28" s="37"/>
    </row>
    <row r="29" spans="1:8" ht="27" x14ac:dyDescent="0.25">
      <c r="A29" s="1" t="s">
        <v>30</v>
      </c>
      <c r="B29" s="2">
        <v>18</v>
      </c>
      <c r="C29" s="10"/>
      <c r="D29" s="10"/>
      <c r="F29" s="36"/>
      <c r="G29" s="37"/>
      <c r="H29" s="37"/>
    </row>
    <row r="30" spans="1:8" x14ac:dyDescent="0.25">
      <c r="A30" s="1" t="s">
        <v>52</v>
      </c>
      <c r="B30" s="2">
        <v>17</v>
      </c>
      <c r="C30" s="10"/>
      <c r="D30" s="10"/>
      <c r="F30" s="36"/>
      <c r="G30" s="37"/>
      <c r="H30" s="37"/>
    </row>
    <row r="31" spans="1:8" x14ac:dyDescent="0.25">
      <c r="A31" s="2" t="s">
        <v>61</v>
      </c>
      <c r="B31" s="2">
        <v>3</v>
      </c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96</v>
      </c>
      <c r="C37" s="117" t="s">
        <v>53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45768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42</v>
      </c>
      <c r="B41" s="4">
        <v>32</v>
      </c>
      <c r="C41" s="9"/>
      <c r="D41" s="9"/>
    </row>
    <row r="42" spans="1:8" ht="27" x14ac:dyDescent="0.25">
      <c r="A42" s="1" t="s">
        <v>40</v>
      </c>
      <c r="B42" s="2">
        <v>3</v>
      </c>
      <c r="C42" s="10"/>
      <c r="D42" s="10"/>
    </row>
    <row r="43" spans="1:8" ht="27" x14ac:dyDescent="0.25">
      <c r="A43" s="1" t="s">
        <v>43</v>
      </c>
      <c r="B43" s="2">
        <v>5</v>
      </c>
      <c r="C43" s="10"/>
      <c r="D43" s="10"/>
    </row>
    <row r="44" spans="1:8" ht="27" x14ac:dyDescent="0.25">
      <c r="A44" s="1" t="s">
        <v>44</v>
      </c>
      <c r="B44" s="2">
        <v>3</v>
      </c>
      <c r="C44" s="10"/>
      <c r="D44" s="10"/>
    </row>
    <row r="45" spans="1:8" ht="40.5" x14ac:dyDescent="0.25">
      <c r="A45" s="1" t="s">
        <v>47</v>
      </c>
      <c r="B45" s="2">
        <v>1</v>
      </c>
      <c r="C45" s="10"/>
      <c r="D45" s="10"/>
    </row>
    <row r="46" spans="1:8" ht="40.5" x14ac:dyDescent="0.25">
      <c r="A46" s="1" t="s">
        <v>46</v>
      </c>
      <c r="B46" s="2">
        <v>3</v>
      </c>
      <c r="C46" s="10"/>
      <c r="D46" s="10"/>
    </row>
    <row r="47" spans="1:8" ht="27" x14ac:dyDescent="0.25">
      <c r="A47" s="1" t="s">
        <v>51</v>
      </c>
      <c r="B47" s="2">
        <v>18</v>
      </c>
      <c r="C47" s="10"/>
      <c r="D47" s="10"/>
    </row>
    <row r="48" spans="1:8" ht="27" x14ac:dyDescent="0.25">
      <c r="A48" s="1" t="s">
        <v>30</v>
      </c>
      <c r="B48" s="2">
        <v>16</v>
      </c>
      <c r="C48" s="10"/>
      <c r="D48" s="10"/>
    </row>
    <row r="49" spans="1:4" x14ac:dyDescent="0.25">
      <c r="A49" s="1" t="s">
        <v>52</v>
      </c>
      <c r="B49" s="2">
        <v>12</v>
      </c>
      <c r="C49" s="10"/>
      <c r="D49" s="10"/>
    </row>
    <row r="50" spans="1:4" x14ac:dyDescent="0.25">
      <c r="A50" s="2" t="s">
        <v>61</v>
      </c>
      <c r="B50" s="2">
        <v>3</v>
      </c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96</v>
      </c>
      <c r="C56" s="117" t="s">
        <v>53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45775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5" t="s">
        <v>30</v>
      </c>
      <c r="B60" s="4">
        <v>6</v>
      </c>
      <c r="C60" s="9"/>
      <c r="D60" s="9"/>
    </row>
    <row r="61" spans="1:4" x14ac:dyDescent="0.25">
      <c r="A61" s="1" t="s">
        <v>52</v>
      </c>
      <c r="B61" s="2">
        <v>47</v>
      </c>
      <c r="C61" s="10"/>
      <c r="D61" s="10"/>
    </row>
    <row r="62" spans="1:4" x14ac:dyDescent="0.25">
      <c r="A62" s="1" t="s">
        <v>61</v>
      </c>
      <c r="B62" s="2">
        <v>2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55</v>
      </c>
      <c r="C75" s="117" t="s">
        <v>53</v>
      </c>
      <c r="D75" s="48"/>
    </row>
    <row r="76" spans="1:4" ht="14.25" x14ac:dyDescent="0.3">
      <c r="A76" s="49"/>
      <c r="B76" s="49"/>
      <c r="C76" s="49"/>
      <c r="D76" s="49"/>
    </row>
    <row r="77" spans="1:4" x14ac:dyDescent="0.25">
      <c r="A77" s="86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52E3B59-7804-491F-87F3-D95B74B8C9F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EE6F461E-7332-4E23-9388-3BC1AC56241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F79C1525-E948-4175-AC6F-3DFA0E24B9DC}">
      <formula1>0</formula1>
      <formula2>NbPerWeek * NbQuartPer</formula2>
    </dataValidation>
    <dataValidation type="list" allowBlank="1" showInputMessage="1" showErrorMessage="1" sqref="A3:A17 A22:A36 A41:A55 A60:A74" xr:uid="{FD87FAFA-5284-46DB-B3D9-315E6BDCE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f7d9f5a6-831d-4621-8c77-cbcaf993e406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a1b10758-7132-46a4-a2fe-7a2cf46f51f4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Ayhan Yasem Yasemov</dc:creator>
  <cp:lastModifiedBy>Andrea Matteo Fontana</cp:lastModifiedBy>
  <cp:lastPrinted>2025-04-07T11:53:18Z</cp:lastPrinted>
  <dcterms:created xsi:type="dcterms:W3CDTF">1996-10-21T11:03:58Z</dcterms:created>
  <dcterms:modified xsi:type="dcterms:W3CDTF">2025-05-13T08:36:17Z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